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6" documentId="8_{9C6F86AC-17A0-4A77-B23D-2BBDFB938B4B}" xr6:coauthVersionLast="47" xr6:coauthVersionMax="47" xr10:uidLastSave="{54EA94D5-608E-41D9-B1B4-A684DB99E284}"/>
  <bookViews>
    <workbookView xWindow="-108" yWindow="-108" windowWidth="23256" windowHeight="12576" activeTab="1" xr2:uid="{00000000-000D-0000-FFFF-FFFF00000000}"/>
  </bookViews>
  <sheets>
    <sheet name="Q2-&gt;3kD" sheetId="4" r:id="rId1"/>
    <sheet name="Q3-Fraction effect" sheetId="6" r:id="rId2"/>
    <sheet name="Q4-Vapor pressure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5" i="6" l="1"/>
  <c r="O3" i="6"/>
  <c r="M3" i="6"/>
</calcChain>
</file>

<file path=xl/sharedStrings.xml><?xml version="1.0" encoding="utf-8"?>
<sst xmlns="http://schemas.openxmlformats.org/spreadsheetml/2006/main" count="85" uniqueCount="27">
  <si>
    <t>Aperture</t>
  </si>
  <si>
    <t>SE</t>
  </si>
  <si>
    <t>Initial-Dark</t>
  </si>
  <si>
    <t>Mock Control</t>
  </si>
  <si>
    <t>Original</t>
  </si>
  <si>
    <t>Flowthrough</t>
  </si>
  <si>
    <t>E-25 MeOH</t>
  </si>
  <si>
    <t>E-50 MeOH</t>
  </si>
  <si>
    <t>E-75 MeOH</t>
  </si>
  <si>
    <t>E-100 MeOH</t>
  </si>
  <si>
    <t>Wash(5% MeOH)</t>
  </si>
  <si>
    <t>Vapor pressure</t>
  </si>
  <si>
    <t>mmol/kg</t>
  </si>
  <si>
    <t>RL-MC</t>
  </si>
  <si>
    <t>RL+S-O</t>
  </si>
  <si>
    <t>RL+S-L</t>
  </si>
  <si>
    <t>RL+S-U</t>
  </si>
  <si>
    <t>RL-MC: red light mock control;</t>
  </si>
  <si>
    <t>RL+S-O: original secretome</t>
  </si>
  <si>
    <r>
      <t xml:space="preserve">RL+S-U: upper fraction of secretome (U-P); </t>
    </r>
    <r>
      <rPr>
        <b/>
        <sz val="12"/>
        <color rgb="FFFF0000"/>
        <rFont val="Times New Roman"/>
        <family val="1"/>
      </rPr>
      <t>&gt;3 kD fraction</t>
    </r>
  </si>
  <si>
    <r>
      <t>RL+S-L: flow through of secretome (L-M);</t>
    </r>
    <r>
      <rPr>
        <b/>
        <sz val="12"/>
        <color rgb="FFFF0000"/>
        <rFont val="Times New Roman"/>
        <family val="1"/>
      </rPr>
      <t>&lt;3 kD fraction</t>
    </r>
  </si>
  <si>
    <t>A</t>
  </si>
  <si>
    <t>B</t>
  </si>
  <si>
    <t>C</t>
  </si>
  <si>
    <t>D</t>
  </si>
  <si>
    <t>Group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</si>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</sst>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11"/>
      <name val="Times New Roman"/>
      <family val="1"/>
    </font>
    <font>
      <sz val="9"/>
      <color rgb="FF1F497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64" fontId="8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3" fontId="10" fillId="0" borderId="0" xfId="0" applyNumberFormat="1" applyFont="1"/>
    <xf numFmtId="3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H2" sqref="H2"/>
    </sheetView>
  </sheetViews>
  <sheetFormatPr defaultColWidth="9.109375" defaultRowHeight="15.6" x14ac:dyDescent="0.3"/>
  <cols>
    <col min="1" max="1" width="19.33203125" style="6" bestFit="1" customWidth="1"/>
    <col min="2" max="2" width="19.33203125" style="6" customWidth="1"/>
    <col min="3" max="4" width="16.44140625" style="6" bestFit="1" customWidth="1"/>
    <col min="5" max="5" width="15" style="6" bestFit="1" customWidth="1"/>
    <col min="6" max="6" width="16.44140625" style="6" bestFit="1" customWidth="1"/>
    <col min="7" max="7" width="12.6640625" style="6" bestFit="1" customWidth="1"/>
    <col min="8" max="8" width="74.44140625" style="6" bestFit="1" customWidth="1"/>
    <col min="9" max="9" width="12.6640625" style="6" bestFit="1" customWidth="1"/>
    <col min="10" max="10" width="14" style="6" bestFit="1" customWidth="1"/>
    <col min="11" max="16384" width="9.109375" style="6"/>
  </cols>
  <sheetData>
    <row r="1" spans="1:8" x14ac:dyDescent="0.3">
      <c r="A1" s="4" t="s">
        <v>25</v>
      </c>
      <c r="B1" s="4" t="s">
        <v>26</v>
      </c>
      <c r="C1" s="6" t="s">
        <v>0</v>
      </c>
      <c r="H1" s="7" t="s">
        <v>17</v>
      </c>
    </row>
    <row r="2" spans="1:8" x14ac:dyDescent="0.3">
      <c r="A2" s="9" t="s">
        <v>13</v>
      </c>
      <c r="B2" s="9" t="s">
        <v>21</v>
      </c>
      <c r="C2" s="10">
        <v>3.72593</v>
      </c>
      <c r="H2" s="7" t="s">
        <v>18</v>
      </c>
    </row>
    <row r="3" spans="1:8" x14ac:dyDescent="0.3">
      <c r="A3" s="9" t="s">
        <v>13</v>
      </c>
      <c r="B3" s="9" t="s">
        <v>21</v>
      </c>
      <c r="C3" s="10">
        <v>3.9167459999999998</v>
      </c>
      <c r="H3" s="7" t="s">
        <v>19</v>
      </c>
    </row>
    <row r="4" spans="1:8" x14ac:dyDescent="0.3">
      <c r="A4" s="9" t="s">
        <v>13</v>
      </c>
      <c r="B4" s="9" t="s">
        <v>21</v>
      </c>
      <c r="C4" s="10">
        <v>4.0991702127659577</v>
      </c>
      <c r="H4" s="7" t="s">
        <v>20</v>
      </c>
    </row>
    <row r="5" spans="1:8" x14ac:dyDescent="0.3">
      <c r="A5" s="5" t="s">
        <v>14</v>
      </c>
      <c r="B5" s="5" t="s">
        <v>22</v>
      </c>
      <c r="C5" s="8">
        <v>5.2819580000000004</v>
      </c>
    </row>
    <row r="6" spans="1:8" x14ac:dyDescent="0.3">
      <c r="A6" s="5" t="s">
        <v>14</v>
      </c>
      <c r="B6" s="5" t="s">
        <v>22</v>
      </c>
      <c r="C6" s="8">
        <v>4.9111979999999997</v>
      </c>
    </row>
    <row r="7" spans="1:8" x14ac:dyDescent="0.3">
      <c r="A7" s="5" t="s">
        <v>14</v>
      </c>
      <c r="B7" s="5" t="s">
        <v>22</v>
      </c>
      <c r="C7" s="8">
        <v>5.4506561170212766</v>
      </c>
    </row>
    <row r="8" spans="1:8" x14ac:dyDescent="0.3">
      <c r="A8" s="9" t="s">
        <v>15</v>
      </c>
      <c r="B8" s="9" t="s">
        <v>23</v>
      </c>
      <c r="C8" s="10">
        <v>5.2642829999999998</v>
      </c>
    </row>
    <row r="9" spans="1:8" x14ac:dyDescent="0.3">
      <c r="A9" s="9" t="s">
        <v>15</v>
      </c>
      <c r="B9" s="9" t="s">
        <v>23</v>
      </c>
      <c r="C9" s="10">
        <v>5.0465600000000004</v>
      </c>
    </row>
    <row r="10" spans="1:8" x14ac:dyDescent="0.3">
      <c r="A10" s="9" t="s">
        <v>15</v>
      </c>
      <c r="B10" s="9" t="s">
        <v>23</v>
      </c>
      <c r="C10" s="10">
        <v>5.5620901595744687</v>
      </c>
    </row>
    <row r="11" spans="1:8" x14ac:dyDescent="0.3">
      <c r="A11" s="9" t="s">
        <v>16</v>
      </c>
      <c r="B11" s="9" t="s">
        <v>24</v>
      </c>
      <c r="C11" s="10">
        <v>4.6363240000000001</v>
      </c>
    </row>
    <row r="12" spans="1:8" x14ac:dyDescent="0.3">
      <c r="A12" s="9" t="s">
        <v>16</v>
      </c>
      <c r="B12" s="9" t="s">
        <v>24</v>
      </c>
      <c r="C12" s="10">
        <v>4.9738769999999999</v>
      </c>
    </row>
    <row r="13" spans="1:8" x14ac:dyDescent="0.3">
      <c r="A13" s="9" t="s">
        <v>16</v>
      </c>
      <c r="B13" s="9" t="s">
        <v>24</v>
      </c>
      <c r="C13" s="10">
        <v>4.6642617021276598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"/>
  <sheetViews>
    <sheetView tabSelected="1" workbookViewId="0">
      <selection activeCell="O5" sqref="O5"/>
    </sheetView>
  </sheetViews>
  <sheetFormatPr defaultColWidth="9.109375" defaultRowHeight="13.8" x14ac:dyDescent="0.3"/>
  <cols>
    <col min="1" max="1" width="8.5546875" style="3" bestFit="1" customWidth="1"/>
    <col min="2" max="2" width="12" style="3" bestFit="1" customWidth="1"/>
    <col min="3" max="3" width="14.44140625" style="3" bestFit="1" customWidth="1"/>
    <col min="4" max="4" width="12" style="3" bestFit="1" customWidth="1"/>
    <col min="5" max="5" width="12.6640625" style="3" bestFit="1" customWidth="1"/>
    <col min="6" max="6" width="18.44140625" style="3" bestFit="1" customWidth="1"/>
    <col min="7" max="9" width="12.6640625" style="3" bestFit="1" customWidth="1"/>
    <col min="10" max="10" width="14" style="3" bestFit="1" customWidth="1"/>
    <col min="11" max="16384" width="9.109375" style="3"/>
  </cols>
  <sheetData>
    <row r="1" spans="1:15" s="2" customFormat="1" x14ac:dyDescent="0.3">
      <c r="A1" s="1">
        <v>42235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10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5" x14ac:dyDescent="0.3">
      <c r="A2" s="3" t="s">
        <v>0</v>
      </c>
      <c r="B2" s="3">
        <v>2.5890957446808511</v>
      </c>
      <c r="C2" s="3">
        <v>3.4194148936170214</v>
      </c>
      <c r="D2" s="3">
        <v>4.8776595744680851</v>
      </c>
      <c r="E2" s="3">
        <v>5.7726063829787231</v>
      </c>
      <c r="F2" s="3">
        <v>6.0340425531914894</v>
      </c>
      <c r="G2" s="3">
        <v>4.1792553191489361</v>
      </c>
      <c r="H2" s="3">
        <v>3.9984042553191492</v>
      </c>
      <c r="I2" s="3">
        <v>3.8984042553191491</v>
      </c>
      <c r="J2" s="3">
        <v>3.9986702127659579</v>
      </c>
    </row>
    <row r="3" spans="1:15" x14ac:dyDescent="0.2">
      <c r="A3" s="3" t="s">
        <v>1</v>
      </c>
      <c r="B3" s="3">
        <v>0.1231715425531915</v>
      </c>
      <c r="C3" s="3">
        <v>9.2693793213273729E-2</v>
      </c>
      <c r="D3" s="3">
        <v>0.14301861702127658</v>
      </c>
      <c r="E3" s="3">
        <v>0.55924202127659572</v>
      </c>
      <c r="F3" s="3">
        <v>0.11582446808510639</v>
      </c>
      <c r="G3" s="3">
        <v>0.14531250000000001</v>
      </c>
      <c r="H3" s="3">
        <v>0.13683510638297872</v>
      </c>
      <c r="I3" s="3">
        <v>0.12916957157852574</v>
      </c>
      <c r="J3" s="3">
        <v>0.12450132978723405</v>
      </c>
      <c r="M3" s="3">
        <f>15000</f>
        <v>15000</v>
      </c>
      <c r="N3" s="12">
        <v>13636</v>
      </c>
      <c r="O3" s="13">
        <f>M3-N3</f>
        <v>1364</v>
      </c>
    </row>
    <row r="4" spans="1:15" x14ac:dyDescent="0.3">
      <c r="O4" s="3">
        <v>4700</v>
      </c>
    </row>
    <row r="5" spans="1:15" x14ac:dyDescent="0.3">
      <c r="O5" s="13">
        <f>O3+O4</f>
        <v>6064</v>
      </c>
    </row>
    <row r="6" spans="1:15" s="2" customFormat="1" x14ac:dyDescent="0.3">
      <c r="A6" s="1">
        <v>42236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10</v>
      </c>
      <c r="G6" s="2" t="s">
        <v>6</v>
      </c>
      <c r="H6" s="2" t="s">
        <v>7</v>
      </c>
      <c r="I6" s="2" t="s">
        <v>8</v>
      </c>
      <c r="J6" s="2" t="s">
        <v>9</v>
      </c>
    </row>
    <row r="7" spans="1:15" x14ac:dyDescent="0.3">
      <c r="A7" s="3" t="s">
        <v>0</v>
      </c>
      <c r="B7" s="3">
        <v>2.1954787234042556</v>
      </c>
      <c r="C7" s="3">
        <v>3.4875000000000003</v>
      </c>
      <c r="D7" s="3">
        <v>3.5845744680851066</v>
      </c>
      <c r="E7" s="3">
        <v>3.4662234042553193</v>
      </c>
      <c r="F7" s="3">
        <v>4.8034574468085109</v>
      </c>
      <c r="G7" s="3">
        <v>4.2946808510638297</v>
      </c>
      <c r="H7" s="3">
        <v>4.1281914893617024</v>
      </c>
      <c r="I7" s="3">
        <v>3.8606382978723408</v>
      </c>
      <c r="J7" s="3">
        <v>3.6375000000000002</v>
      </c>
    </row>
    <row r="8" spans="1:15" x14ac:dyDescent="0.3">
      <c r="A8" s="3" t="s">
        <v>1</v>
      </c>
      <c r="B8" s="3">
        <v>7.2840044528993439E-2</v>
      </c>
      <c r="C8" s="3">
        <v>0.10096409574468085</v>
      </c>
      <c r="D8" s="3">
        <v>0.11745345744680852</v>
      </c>
      <c r="E8" s="3">
        <v>0.1046875</v>
      </c>
      <c r="F8" s="3">
        <v>0.1146867355726663</v>
      </c>
      <c r="G8" s="3">
        <v>0.11442819148936172</v>
      </c>
      <c r="H8" s="3">
        <v>0.12047872340425533</v>
      </c>
      <c r="I8" s="3">
        <v>0.14654255319148937</v>
      </c>
      <c r="J8" s="3">
        <v>0.10538563829787234</v>
      </c>
    </row>
    <row r="11" spans="1:15" s="2" customFormat="1" x14ac:dyDescent="0.3">
      <c r="A11" s="1">
        <v>42256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10</v>
      </c>
      <c r="G11" s="2" t="s">
        <v>6</v>
      </c>
      <c r="H11" s="2" t="s">
        <v>7</v>
      </c>
      <c r="I11" s="2" t="s">
        <v>8</v>
      </c>
      <c r="J11" s="2" t="s">
        <v>9</v>
      </c>
    </row>
    <row r="12" spans="1:15" x14ac:dyDescent="0.3">
      <c r="A12" s="3" t="s">
        <v>0</v>
      </c>
      <c r="B12" s="3">
        <v>2.3085106382978724</v>
      </c>
      <c r="C12" s="3">
        <v>3.1829787234042555</v>
      </c>
      <c r="D12" s="3">
        <v>4.4029255319148941</v>
      </c>
      <c r="E12" s="3">
        <v>2.8026595744680853</v>
      </c>
      <c r="F12" s="3">
        <v>4.0896276595744681</v>
      </c>
      <c r="G12" s="3">
        <v>4.2148936170212767</v>
      </c>
      <c r="H12" s="3">
        <v>4.3071808510638299</v>
      </c>
      <c r="I12" s="3">
        <v>3.610904255319149</v>
      </c>
      <c r="J12" s="3">
        <v>3.2</v>
      </c>
    </row>
    <row r="13" spans="1:15" x14ac:dyDescent="0.3">
      <c r="A13" s="3" t="s">
        <v>1</v>
      </c>
      <c r="B13" s="3">
        <v>9.9399705560908436E-2</v>
      </c>
      <c r="C13" s="3">
        <v>0.11974734042553192</v>
      </c>
      <c r="D13" s="3">
        <v>0.1290823800349758</v>
      </c>
      <c r="E13" s="3">
        <v>9.8869680851063846E-2</v>
      </c>
      <c r="F13" s="3">
        <v>0.13055186170212768</v>
      </c>
      <c r="G13" s="3">
        <v>0.15465425531914895</v>
      </c>
      <c r="H13" s="3">
        <v>0.16249869749639387</v>
      </c>
      <c r="I13" s="3">
        <v>0.1306183510638298</v>
      </c>
      <c r="J13" s="3">
        <v>0.14155585106382979</v>
      </c>
    </row>
    <row r="16" spans="1:15" s="2" customFormat="1" x14ac:dyDescent="0.3">
      <c r="A16" s="1">
        <v>42257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10</v>
      </c>
      <c r="G16" s="2" t="s">
        <v>6</v>
      </c>
      <c r="H16" s="2" t="s">
        <v>7</v>
      </c>
      <c r="I16" s="2" t="s">
        <v>8</v>
      </c>
      <c r="J16" s="2" t="s">
        <v>9</v>
      </c>
    </row>
    <row r="17" spans="1:10" x14ac:dyDescent="0.3">
      <c r="A17" s="3" t="s">
        <v>0</v>
      </c>
      <c r="B17" s="3">
        <v>2.4688829787234043</v>
      </c>
      <c r="C17" s="3">
        <v>3.8417553191489366</v>
      </c>
      <c r="D17" s="3">
        <v>5.0529255319148936</v>
      </c>
      <c r="E17" s="3">
        <v>2.3688829787234043</v>
      </c>
      <c r="F17" s="3">
        <v>4.4045212765957453</v>
      </c>
      <c r="G17" s="3">
        <v>4.1989361702127663</v>
      </c>
      <c r="H17" s="3">
        <v>3.9550531914893621</v>
      </c>
      <c r="I17" s="3">
        <v>3.6478723404255318</v>
      </c>
      <c r="J17" s="3">
        <v>2.6340425531914895</v>
      </c>
    </row>
    <row r="18" spans="1:10" x14ac:dyDescent="0.3">
      <c r="A18" s="3" t="s">
        <v>1</v>
      </c>
      <c r="B18" s="3">
        <v>0.14896941489361704</v>
      </c>
      <c r="C18" s="3">
        <v>0.11496010638297874</v>
      </c>
      <c r="D18" s="3">
        <v>0.17576462765957448</v>
      </c>
      <c r="E18" s="3">
        <v>8.1249348748196934E-2</v>
      </c>
      <c r="F18" s="3">
        <v>0.20840844013588616</v>
      </c>
      <c r="G18" s="3">
        <v>0.1370994902606934</v>
      </c>
      <c r="H18" s="3">
        <v>0.18044157941121977</v>
      </c>
      <c r="I18" s="3">
        <v>0.16286569148936172</v>
      </c>
      <c r="J18" s="3">
        <v>0.1192154255319149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>
      <selection activeCell="E21" sqref="E21"/>
    </sheetView>
  </sheetViews>
  <sheetFormatPr defaultColWidth="9.109375" defaultRowHeight="13.8" x14ac:dyDescent="0.3"/>
  <cols>
    <col min="1" max="1" width="15.109375" style="3" customWidth="1"/>
    <col min="2" max="2" width="12" style="3" bestFit="1" customWidth="1"/>
    <col min="3" max="3" width="14.44140625" style="3" bestFit="1" customWidth="1"/>
    <col min="4" max="4" width="8.5546875" style="3" bestFit="1" customWidth="1"/>
    <col min="5" max="5" width="12.6640625" style="3" bestFit="1" customWidth="1"/>
    <col min="6" max="6" width="13.6640625" style="3" customWidth="1"/>
    <col min="7" max="9" width="12.6640625" style="3" bestFit="1" customWidth="1"/>
    <col min="10" max="10" width="14" style="3" bestFit="1" customWidth="1"/>
    <col min="11" max="16384" width="9.109375" style="3"/>
  </cols>
  <sheetData>
    <row r="1" spans="1:10" s="2" customFormat="1" x14ac:dyDescent="0.3">
      <c r="A1" s="11" t="s">
        <v>11</v>
      </c>
      <c r="B1" s="3" t="s">
        <v>12</v>
      </c>
      <c r="C1" s="2" t="s">
        <v>3</v>
      </c>
      <c r="D1" s="2" t="s">
        <v>4</v>
      </c>
      <c r="E1" s="2" t="s">
        <v>5</v>
      </c>
      <c r="F1" s="2" t="s">
        <v>10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B2" s="1">
        <v>42236</v>
      </c>
      <c r="C2" s="3">
        <v>33</v>
      </c>
      <c r="D2" s="3">
        <v>36</v>
      </c>
      <c r="E2" s="3">
        <v>59</v>
      </c>
      <c r="F2" s="3">
        <v>38</v>
      </c>
      <c r="G2" s="3">
        <v>36</v>
      </c>
      <c r="H2" s="3">
        <v>37</v>
      </c>
      <c r="I2" s="3">
        <v>37</v>
      </c>
      <c r="J2" s="3">
        <v>36</v>
      </c>
    </row>
    <row r="3" spans="1:10" x14ac:dyDescent="0.3">
      <c r="B3" s="1">
        <v>42256</v>
      </c>
      <c r="C3" s="3">
        <v>31</v>
      </c>
      <c r="D3" s="3">
        <v>39</v>
      </c>
      <c r="E3" s="3">
        <v>86</v>
      </c>
      <c r="F3" s="3">
        <v>37</v>
      </c>
      <c r="G3" s="3">
        <v>33</v>
      </c>
      <c r="H3" s="3">
        <v>34</v>
      </c>
      <c r="I3" s="3">
        <v>33</v>
      </c>
      <c r="J3" s="3">
        <v>33</v>
      </c>
    </row>
    <row r="4" spans="1:10" x14ac:dyDescent="0.3">
      <c r="B4" s="1">
        <v>42257</v>
      </c>
      <c r="C4" s="3">
        <v>32</v>
      </c>
      <c r="D4" s="3">
        <v>39</v>
      </c>
      <c r="E4" s="3">
        <v>64</v>
      </c>
      <c r="F4" s="3">
        <v>35</v>
      </c>
      <c r="G4" s="3">
        <v>31</v>
      </c>
      <c r="H4" s="3">
        <v>32</v>
      </c>
      <c r="I4" s="3">
        <v>33</v>
      </c>
      <c r="J4" s="3">
        <v>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Q2-&gt;3kD</vt:lpstr>
      <vt:lpstr>Q3-Fraction effect</vt:lpstr>
      <vt:lpstr>Q4-Vapor pressure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2022-07-04T19:35:38Z</dcterms:modified>
</cp:coreProperties>
</file>