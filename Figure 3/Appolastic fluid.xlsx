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51258C6B-2AB2-4ACA-9C72-AC381AE8F214}" xr6:coauthVersionLast="47" xr6:coauthVersionMax="47" xr10:uidLastSave="{00000000-0000-0000-0000-000000000000}"/>
  <bookViews>
    <workbookView xWindow="-110" yWindow="-110" windowWidth="19420" windowHeight="10300" xr2:uid="{3BE16C40-E8FF-4067-9856-188202ECD4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7" i="1"/>
  <c r="B7" i="1"/>
  <c r="R5" i="1"/>
  <c r="R6" i="1" s="1"/>
  <c r="Q5" i="1"/>
  <c r="Q6" i="1" s="1"/>
  <c r="P5" i="1"/>
  <c r="P6" i="1" s="1"/>
  <c r="O5" i="1"/>
  <c r="O6" i="1" s="1"/>
  <c r="N5" i="1"/>
  <c r="N6" i="1" s="1"/>
  <c r="M5" i="1"/>
  <c r="M6" i="1" s="1"/>
  <c r="L5" i="1"/>
  <c r="L6" i="1" s="1"/>
  <c r="K5" i="1"/>
  <c r="K6" i="1" s="1"/>
  <c r="J5" i="1"/>
  <c r="J6" i="1" s="1"/>
  <c r="I5" i="1"/>
  <c r="I6" i="1" s="1"/>
  <c r="H5" i="1"/>
  <c r="H6" i="1" s="1"/>
  <c r="G5" i="1"/>
  <c r="G6" i="1" s="1"/>
  <c r="R4" i="1"/>
  <c r="Q4" i="1"/>
  <c r="P4" i="1"/>
  <c r="O4" i="1"/>
  <c r="N4" i="1"/>
  <c r="M4" i="1"/>
  <c r="L4" i="1"/>
  <c r="K4" i="1"/>
  <c r="J4" i="1"/>
  <c r="I4" i="1"/>
  <c r="H4" i="1"/>
  <c r="G4" i="1"/>
</calcChain>
</file>

<file path=xl/sharedStrings.xml><?xml version="1.0" encoding="utf-8"?>
<sst xmlns="http://schemas.openxmlformats.org/spreadsheetml/2006/main" count="23" uniqueCount="20">
  <si>
    <t>dark</t>
  </si>
  <si>
    <t>1 hour light</t>
  </si>
  <si>
    <t>2 hour light</t>
  </si>
  <si>
    <t>4 (no indigo)</t>
  </si>
  <si>
    <t>number fresh ficia leaf</t>
  </si>
  <si>
    <t>weight fresh ficia leaf</t>
  </si>
  <si>
    <t>weight vacumed ficia leaf</t>
  </si>
  <si>
    <t>water absorbed (ml)</t>
  </si>
  <si>
    <t>water absorbed</t>
  </si>
  <si>
    <t>ml extracted</t>
  </si>
  <si>
    <t>2x vacume of 4 min.</t>
  </si>
  <si>
    <t xml:space="preserve">OD610 apoplast+indigo </t>
  </si>
  <si>
    <t>OD610 dstill water</t>
  </si>
  <si>
    <t>OD610+Indigo carmine</t>
  </si>
  <si>
    <r>
      <t>Indigo carmine infiltration buffer- 50</t>
    </r>
    <r>
      <rPr>
        <sz val="11"/>
        <color theme="1"/>
        <rFont val="Calibri"/>
        <family val="2"/>
      </rPr>
      <t>µM</t>
    </r>
    <r>
      <rPr>
        <sz val="11"/>
        <color theme="1"/>
        <rFont val="Calibri"/>
        <family val="2"/>
        <scheme val="minor"/>
      </rPr>
      <t xml:space="preserve"> (300ml sidtill water+7mg indigo)</t>
    </r>
  </si>
  <si>
    <t>1000 g for 10 min.</t>
  </si>
  <si>
    <t>15,000 x g for 5</t>
  </si>
  <si>
    <t>number fresh vicia leaf</t>
  </si>
  <si>
    <t>weight fresh vicia leaf (g)</t>
  </si>
  <si>
    <t>weight vacumed vicia leaf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</si>
</sst>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FC93-3A93-4E7E-8013-9A575D095B56}">
  <dimension ref="A1:R17"/>
  <sheetViews>
    <sheetView tabSelected="1" workbookViewId="0">
      <selection activeCell="F7" sqref="F7"/>
    </sheetView>
  </sheetViews>
  <sheetFormatPr defaultRowHeight="15" x14ac:dyDescent="0.25"/>
  <cols>
    <col min="1" max="1" width="24" bestFit="1" customWidth="1"/>
    <col min="6" max="6" width="29.5703125" customWidth="1"/>
    <col min="10" max="10" width="12.140625" bestFit="1" customWidth="1"/>
    <col min="13" max="14" width="12.140625" bestFit="1" customWidth="1"/>
    <col min="16" max="17" width="11" bestFit="1" customWidth="1"/>
    <col min="18" max="18" width="12.140625" bestFit="1" customWidth="1"/>
  </cols>
  <sheetData>
    <row r="1" spans="1:18" x14ac:dyDescent="0.25">
      <c r="G1" s="1" t="s">
        <v>0</v>
      </c>
      <c r="H1" s="2"/>
      <c r="I1" s="2"/>
      <c r="J1" s="3"/>
      <c r="K1" s="1" t="s">
        <v>1</v>
      </c>
      <c r="L1" s="2"/>
      <c r="M1" s="2"/>
      <c r="N1" s="3"/>
      <c r="O1" s="1" t="s">
        <v>2</v>
      </c>
      <c r="P1" s="2"/>
      <c r="Q1" s="2"/>
      <c r="R1" s="3"/>
    </row>
    <row r="2" spans="1:18" x14ac:dyDescent="0.25">
      <c r="F2" s="4"/>
      <c r="G2" s="5">
        <v>1</v>
      </c>
      <c r="H2" s="6">
        <v>2</v>
      </c>
      <c r="I2" s="6">
        <v>3</v>
      </c>
      <c r="J2" s="7" t="s">
        <v>3</v>
      </c>
      <c r="K2" s="5">
        <v>1</v>
      </c>
      <c r="L2" s="6">
        <v>2</v>
      </c>
      <c r="M2" s="6">
        <v>3</v>
      </c>
      <c r="N2" s="7" t="s">
        <v>3</v>
      </c>
      <c r="O2" s="5">
        <v>1</v>
      </c>
      <c r="P2" s="6">
        <v>2</v>
      </c>
      <c r="Q2" s="6">
        <v>3</v>
      </c>
      <c r="R2" s="7" t="s">
        <v>3</v>
      </c>
    </row>
    <row r="3" spans="1:18" x14ac:dyDescent="0.25">
      <c r="B3" s="8">
        <v>1</v>
      </c>
      <c r="C3" s="8">
        <v>2</v>
      </c>
      <c r="F3" s="4" t="s">
        <v>17</v>
      </c>
      <c r="G3" s="9">
        <v>3</v>
      </c>
      <c r="H3" s="10">
        <v>3</v>
      </c>
      <c r="I3" s="10">
        <v>3</v>
      </c>
      <c r="J3" s="11">
        <v>3</v>
      </c>
      <c r="K3" s="9">
        <v>3</v>
      </c>
      <c r="L3" s="10">
        <v>3</v>
      </c>
      <c r="M3" s="10">
        <v>3</v>
      </c>
      <c r="N3" s="11">
        <v>3</v>
      </c>
      <c r="O3" s="9">
        <v>3</v>
      </c>
      <c r="P3" s="10">
        <v>3</v>
      </c>
      <c r="Q3" s="10">
        <v>3</v>
      </c>
      <c r="R3" s="11">
        <v>3</v>
      </c>
    </row>
    <row r="4" spans="1:18" x14ac:dyDescent="0.25">
      <c r="A4" s="12" t="s">
        <v>4</v>
      </c>
      <c r="B4" s="12">
        <v>4</v>
      </c>
      <c r="C4" s="12">
        <v>4</v>
      </c>
      <c r="F4" s="4" t="s">
        <v>18</v>
      </c>
      <c r="G4" s="9">
        <f>2.9-1.403</f>
        <v>1.4969999999999999</v>
      </c>
      <c r="H4" s="10">
        <f>2.887-1.176</f>
        <v>1.7110000000000001</v>
      </c>
      <c r="I4" s="10">
        <f>3.147-1.444</f>
        <v>1.7029999999999998</v>
      </c>
      <c r="J4" s="11">
        <f>2.957-1.146</f>
        <v>1.8109999999999999</v>
      </c>
      <c r="K4" s="9">
        <f>3.171-2.436</f>
        <v>0.73499999999999988</v>
      </c>
      <c r="L4" s="10">
        <f>3.66-2.452</f>
        <v>1.2080000000000002</v>
      </c>
      <c r="M4" s="10">
        <f>3.475-2.42</f>
        <v>1.0550000000000002</v>
      </c>
      <c r="N4" s="11">
        <f>3.464-2.444</f>
        <v>1.02</v>
      </c>
      <c r="O4" s="9">
        <f>3.747-2.436</f>
        <v>1.3109999999999999</v>
      </c>
      <c r="P4" s="10">
        <f>3.609-2.452</f>
        <v>1.157</v>
      </c>
      <c r="Q4" s="10">
        <f>3.464-2.42</f>
        <v>1.044</v>
      </c>
      <c r="R4" s="11">
        <f>3.725-2.444</f>
        <v>1.2810000000000001</v>
      </c>
    </row>
    <row r="5" spans="1:18" x14ac:dyDescent="0.25">
      <c r="A5" s="12" t="s">
        <v>5</v>
      </c>
      <c r="B5" s="12">
        <v>2.35</v>
      </c>
      <c r="C5" s="12">
        <v>2.0230000000000001</v>
      </c>
      <c r="F5" s="4" t="s">
        <v>19</v>
      </c>
      <c r="G5" s="9">
        <f>4.206-1.403</f>
        <v>2.8030000000000004</v>
      </c>
      <c r="H5" s="10">
        <f>4.901-1.176</f>
        <v>3.7249999999999996</v>
      </c>
      <c r="I5" s="10">
        <f>4.895-1.444</f>
        <v>3.4509999999999996</v>
      </c>
      <c r="J5" s="11">
        <f>4.182-1.146</f>
        <v>3.0360000000000005</v>
      </c>
      <c r="K5" s="9">
        <f>3.901-2.436</f>
        <v>1.4649999999999999</v>
      </c>
      <c r="L5" s="10">
        <f>4.819-2.452</f>
        <v>2.367</v>
      </c>
      <c r="M5" s="10">
        <f>4.658-2.42</f>
        <v>2.2380000000000004</v>
      </c>
      <c r="N5" s="11">
        <f>4.692-2.444</f>
        <v>2.2480000000000002</v>
      </c>
      <c r="O5" s="9">
        <f>5.318-2.436</f>
        <v>2.8819999999999997</v>
      </c>
      <c r="P5" s="10">
        <f>4.875-2.452</f>
        <v>2.423</v>
      </c>
      <c r="Q5" s="10">
        <f>4.618-2.42</f>
        <v>2.1980000000000004</v>
      </c>
      <c r="R5" s="11">
        <f>5.04-2.444</f>
        <v>2.5960000000000001</v>
      </c>
    </row>
    <row r="6" spans="1:18" x14ac:dyDescent="0.25">
      <c r="A6" s="12" t="s">
        <v>6</v>
      </c>
      <c r="B6" s="12">
        <v>4.758</v>
      </c>
      <c r="C6" s="12">
        <v>4.1100000000000003</v>
      </c>
      <c r="F6" s="4" t="s">
        <v>7</v>
      </c>
      <c r="G6" s="9">
        <f>G5-G4</f>
        <v>1.3060000000000005</v>
      </c>
      <c r="H6" s="9">
        <f t="shared" ref="H6:R6" si="0">H5-H4</f>
        <v>2.0139999999999993</v>
      </c>
      <c r="I6" s="9">
        <f t="shared" si="0"/>
        <v>1.7479999999999998</v>
      </c>
      <c r="J6" s="9">
        <f t="shared" si="0"/>
        <v>1.2250000000000005</v>
      </c>
      <c r="K6" s="9">
        <f t="shared" si="0"/>
        <v>0.73</v>
      </c>
      <c r="L6" s="9">
        <f t="shared" si="0"/>
        <v>1.1589999999999998</v>
      </c>
      <c r="M6" s="9">
        <f t="shared" si="0"/>
        <v>1.1830000000000003</v>
      </c>
      <c r="N6" s="9">
        <f t="shared" si="0"/>
        <v>1.2280000000000002</v>
      </c>
      <c r="O6" s="9">
        <f t="shared" si="0"/>
        <v>1.5709999999999997</v>
      </c>
      <c r="P6" s="9">
        <f t="shared" si="0"/>
        <v>1.266</v>
      </c>
      <c r="Q6" s="9">
        <f t="shared" si="0"/>
        <v>1.1540000000000004</v>
      </c>
      <c r="R6" s="9">
        <f t="shared" si="0"/>
        <v>1.3149999999999999</v>
      </c>
    </row>
    <row r="7" spans="1:18" x14ac:dyDescent="0.25">
      <c r="A7" s="12" t="s">
        <v>8</v>
      </c>
      <c r="B7" s="12">
        <f>B6-B5</f>
        <v>2.4079999999999999</v>
      </c>
      <c r="C7" s="12">
        <f>C6-C5</f>
        <v>2.0870000000000002</v>
      </c>
      <c r="F7" s="4"/>
      <c r="G7" s="9"/>
      <c r="H7" s="10"/>
      <c r="I7" s="10"/>
      <c r="J7" s="11"/>
      <c r="K7" s="9"/>
      <c r="L7" s="10"/>
      <c r="M7" s="10"/>
      <c r="N7" s="11"/>
      <c r="O7" s="9"/>
      <c r="P7" s="10"/>
      <c r="Q7" s="10"/>
      <c r="R7" s="11"/>
    </row>
    <row r="8" spans="1:18" x14ac:dyDescent="0.25">
      <c r="A8" s="12"/>
      <c r="B8" s="12"/>
      <c r="C8" s="12"/>
      <c r="F8" s="4" t="s">
        <v>9</v>
      </c>
      <c r="G8" s="9"/>
      <c r="H8" s="10"/>
      <c r="I8" s="10"/>
      <c r="J8" s="11"/>
      <c r="K8" s="9"/>
      <c r="L8" s="10"/>
      <c r="M8" s="10"/>
      <c r="N8" s="11"/>
      <c r="O8" s="9"/>
      <c r="P8" s="10"/>
      <c r="Q8" s="10"/>
      <c r="R8" s="11"/>
    </row>
    <row r="9" spans="1:18" ht="15.75" thickBot="1" x14ac:dyDescent="0.3">
      <c r="A9" s="12" t="s">
        <v>10</v>
      </c>
      <c r="B9" s="12"/>
      <c r="C9" s="12"/>
      <c r="F9" s="4" t="s">
        <v>11</v>
      </c>
      <c r="G9" s="13">
        <v>0.252</v>
      </c>
      <c r="H9" s="14">
        <v>0.223</v>
      </c>
      <c r="I9" s="14">
        <v>0.24199999999999999</v>
      </c>
      <c r="J9" s="15">
        <v>3.7999999999999999E-2</v>
      </c>
      <c r="K9" s="13">
        <v>0.247</v>
      </c>
      <c r="L9" s="14">
        <v>0.27700000000000002</v>
      </c>
      <c r="M9" s="14">
        <v>0.36899999999999999</v>
      </c>
      <c r="N9" s="15">
        <v>3.9E-2</v>
      </c>
      <c r="O9" s="13">
        <v>0.25600000000000001</v>
      </c>
      <c r="P9" s="14">
        <v>0.27800000000000002</v>
      </c>
      <c r="Q9" s="14">
        <v>0.26400000000000001</v>
      </c>
      <c r="R9" s="15">
        <v>3.9E-2</v>
      </c>
    </row>
    <row r="10" spans="1:18" x14ac:dyDescent="0.25">
      <c r="A10" s="12" t="s">
        <v>9</v>
      </c>
      <c r="B10" s="12">
        <v>1.8</v>
      </c>
      <c r="C10" s="12">
        <f>0.95+0.4</f>
        <v>1.35</v>
      </c>
    </row>
    <row r="11" spans="1:18" x14ac:dyDescent="0.25">
      <c r="F11" t="s">
        <v>12</v>
      </c>
      <c r="G11">
        <v>3.4000000000000002E-2</v>
      </c>
    </row>
    <row r="12" spans="1:18" x14ac:dyDescent="0.25">
      <c r="F12" t="s">
        <v>13</v>
      </c>
      <c r="G12">
        <v>0.33400000000000002</v>
      </c>
    </row>
    <row r="14" spans="1:18" x14ac:dyDescent="0.25">
      <c r="F14" t="s">
        <v>14</v>
      </c>
    </row>
    <row r="16" spans="1:18" x14ac:dyDescent="0.25">
      <c r="F16" t="s">
        <v>15</v>
      </c>
    </row>
    <row r="17" spans="6:6" x14ac:dyDescent="0.25">
      <c r="F17" t="s">
        <v>16</v>
      </c>
    </row>
  </sheetData>
  <mergeCells count="3">
    <mergeCell ref="G1:J1"/>
    <mergeCell ref="K1:N1"/>
    <mergeCell ref="O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יותם זית</dc:creator>
  <cp:lastModifiedBy>יותם זית</cp:lastModifiedBy>
  <dcterms:created xsi:type="dcterms:W3CDTF">2025-02-23T17:30:18Z</dcterms:created>
  <dcterms:modified xsi:type="dcterms:W3CDTF">2025-02-23T17:31:26Z</dcterms:modified>
</cp:coreProperties>
</file>