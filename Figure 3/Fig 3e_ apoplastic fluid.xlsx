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RED LIGHT NUTURE PLANTS\figure 3\"/>
    </mc:Choice>
  </mc:AlternateContent>
  <xr:revisionPtr revIDLastSave="0" documentId="8_{54D1AE5C-F633-4A4A-AB0B-0A9DF5D4C2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C-MS" sheetId="1" r:id="rId1"/>
    <sheet name="di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" i="1" l="1"/>
  <c r="N31" i="1"/>
  <c r="N45" i="1"/>
  <c r="D10" i="2" l="1"/>
  <c r="D17" i="2"/>
  <c r="D39" i="1"/>
  <c r="D40" i="1"/>
  <c r="D41" i="1"/>
  <c r="D42" i="1"/>
  <c r="D43" i="1"/>
  <c r="D45" i="1"/>
  <c r="D46" i="1"/>
  <c r="D38" i="1"/>
  <c r="F39" i="1"/>
  <c r="F40" i="1"/>
  <c r="F41" i="1"/>
  <c r="F42" i="1"/>
  <c r="F43" i="1"/>
  <c r="F45" i="1"/>
  <c r="F46" i="1"/>
  <c r="F38" i="1"/>
  <c r="J39" i="1"/>
  <c r="J40" i="1"/>
  <c r="J41" i="1"/>
  <c r="J42" i="1"/>
  <c r="J43" i="1"/>
  <c r="J45" i="1"/>
  <c r="J46" i="1"/>
  <c r="J38" i="1"/>
  <c r="P39" i="1"/>
  <c r="P40" i="1"/>
  <c r="P41" i="1"/>
  <c r="P42" i="1"/>
  <c r="P43" i="1"/>
  <c r="P45" i="1"/>
  <c r="P46" i="1"/>
  <c r="P38" i="1"/>
  <c r="N39" i="1"/>
  <c r="N40" i="1"/>
  <c r="N41" i="1"/>
  <c r="N42" i="1"/>
  <c r="N43" i="1"/>
  <c r="N46" i="1"/>
  <c r="N38" i="1"/>
  <c r="P26" i="1"/>
  <c r="P27" i="1"/>
  <c r="P28" i="1"/>
  <c r="P29" i="1"/>
  <c r="P30" i="1"/>
  <c r="P31" i="1"/>
  <c r="P44" i="1" s="1"/>
  <c r="P32" i="1"/>
  <c r="P33" i="1"/>
  <c r="P25" i="1"/>
  <c r="N26" i="1"/>
  <c r="N27" i="1"/>
  <c r="N28" i="1"/>
  <c r="N29" i="1"/>
  <c r="N30" i="1"/>
  <c r="N32" i="1"/>
  <c r="N33" i="1"/>
  <c r="N25" i="1"/>
  <c r="J25" i="1"/>
  <c r="F25" i="1"/>
  <c r="D25" i="1"/>
  <c r="F26" i="1"/>
  <c r="F27" i="1"/>
  <c r="F28" i="1"/>
  <c r="F29" i="1"/>
  <c r="F30" i="1"/>
  <c r="F31" i="1"/>
  <c r="F44" i="1" s="1"/>
  <c r="F32" i="1"/>
  <c r="F33" i="1"/>
  <c r="J26" i="1"/>
  <c r="J27" i="1"/>
  <c r="J28" i="1"/>
  <c r="J29" i="1"/>
  <c r="J30" i="1"/>
  <c r="J31" i="1"/>
  <c r="J44" i="1" s="1"/>
  <c r="J32" i="1"/>
  <c r="J33" i="1"/>
  <c r="D32" i="1"/>
  <c r="D26" i="1"/>
  <c r="D27" i="1"/>
  <c r="D28" i="1"/>
  <c r="D29" i="1"/>
  <c r="D30" i="1"/>
  <c r="D31" i="1"/>
  <c r="D44" i="1" s="1"/>
  <c r="D33" i="1"/>
  <c r="O5" i="2"/>
  <c r="N5" i="2"/>
  <c r="M5" i="2"/>
  <c r="L5" i="2"/>
  <c r="K5" i="2"/>
  <c r="J5" i="2"/>
  <c r="I5" i="2"/>
  <c r="H5" i="2"/>
  <c r="G5" i="2"/>
  <c r="F5" i="2"/>
  <c r="E5" i="2"/>
  <c r="D5" i="2"/>
  <c r="O4" i="2"/>
  <c r="N4" i="2"/>
  <c r="M4" i="2"/>
  <c r="L4" i="2"/>
  <c r="K4" i="2"/>
  <c r="J4" i="2"/>
  <c r="I4" i="2"/>
  <c r="H4" i="2"/>
  <c r="G4" i="2"/>
  <c r="F4" i="2"/>
  <c r="E4" i="2"/>
  <c r="D4" i="2"/>
  <c r="M10" i="2" l="1"/>
  <c r="N10" i="2"/>
  <c r="D6" i="2"/>
  <c r="L10" i="2"/>
  <c r="E6" i="2"/>
  <c r="E10" i="2"/>
  <c r="F10" i="2"/>
  <c r="F6" i="2"/>
  <c r="G6" i="2"/>
  <c r="O6" i="2"/>
  <c r="H6" i="2"/>
  <c r="I6" i="2"/>
  <c r="J6" i="2"/>
  <c r="K6" i="2"/>
  <c r="L6" i="2"/>
  <c r="M6" i="2"/>
  <c r="N6" i="2"/>
  <c r="H10" i="2"/>
  <c r="I10" i="2"/>
  <c r="J10" i="2"/>
</calcChain>
</file>

<file path=xl/sharedStrings.xml><?xml version="1.0" encoding="utf-8"?>
<sst xmlns="http://schemas.openxmlformats.org/spreadsheetml/2006/main" count="388" uniqueCount="54">
  <si>
    <t>Batch Name:</t>
  </si>
  <si>
    <t>User Name:</t>
  </si>
  <si>
    <t>Instrument Name:</t>
  </si>
  <si>
    <t>Final Concentration Units (in sample):</t>
  </si>
  <si>
    <t>2025-3-03_BPX5_H2_EI_MRM_Sugars_Blk-2</t>
  </si>
  <si>
    <t>2025-3-03_BPX5_H2_EI_MRM_Sugars_Adi_Dark-1</t>
  </si>
  <si>
    <t>2025-3-03_BPX5_H2_EI_MRM_Sugars_Adi_Dark-2</t>
  </si>
  <si>
    <t>2025-3-03_BPX5_H2_EI_MRM_Sugars_Adi_Dark-3</t>
  </si>
  <si>
    <t>2025-3-03_BPX5_H2_EI_MRM_Sugars_Adi_Light-1-1</t>
  </si>
  <si>
    <t>2025-3-03_BPX5_H2_EI_MRM_Sugars_Adi_Light-1-2</t>
  </si>
  <si>
    <t>2025-3-03_BPX5_H2_EI_MRM_Sugars_Adi_Light-1-3</t>
  </si>
  <si>
    <t>2025-3-03_BPX5_H2_EI_MRM_Sugars_Adi_Light-2-1</t>
  </si>
  <si>
    <t>2025-3-03_BPX5_H2_EI_MRM_Sugars_Adi_Light-2-2</t>
  </si>
  <si>
    <t>2025-3-03_BPX5_H2_EI_MRM_Sugars_Adi_Light-2-3</t>
  </si>
  <si>
    <t>2024-4-05_BPX5_022_H2_MRM_12Sugars-OximTMS_Cal_v1</t>
  </si>
  <si>
    <t>TSQ9000</t>
  </si>
  <si>
    <t>Thermo Scientific Instrument</t>
  </si>
  <si>
    <t>Arabinose</t>
  </si>
  <si>
    <t>Fructose</t>
  </si>
  <si>
    <t>Galactose</t>
  </si>
  <si>
    <t>Glucose</t>
  </si>
  <si>
    <t>Mannitol</t>
  </si>
  <si>
    <t>Myo-inositol</t>
  </si>
  <si>
    <t>Rhamnose</t>
  </si>
  <si>
    <t>Ribose</t>
  </si>
  <si>
    <t>Sorbitol</t>
  </si>
  <si>
    <t>Sucrose</t>
  </si>
  <si>
    <t>Trehalose</t>
  </si>
  <si>
    <t>Xylitol</t>
  </si>
  <si>
    <t>ug/ml</t>
  </si>
  <si>
    <t>ND</t>
  </si>
  <si>
    <t>Maltose</t>
  </si>
  <si>
    <t>Mannose</t>
  </si>
  <si>
    <t>dark</t>
  </si>
  <si>
    <t>1 hour light</t>
  </si>
  <si>
    <t>2 hour light</t>
  </si>
  <si>
    <t>4 (no indigo)</t>
  </si>
  <si>
    <t>number fresh ficia leaf</t>
  </si>
  <si>
    <t>weight fresh ficia leaf (g)</t>
  </si>
  <si>
    <t>weight vacumed ficia leaf (g)</t>
  </si>
  <si>
    <t>water absorbed (ml)</t>
  </si>
  <si>
    <t>ml extracted</t>
  </si>
  <si>
    <t>OD610 dstill water</t>
  </si>
  <si>
    <t>OD610+Indigo carmine</t>
  </si>
  <si>
    <r>
      <t>Indigo carmine infiltration buffer- 50</t>
    </r>
    <r>
      <rPr>
        <sz val="11"/>
        <color theme="1"/>
        <rFont val="Calibri"/>
        <family val="2"/>
      </rPr>
      <t>µM</t>
    </r>
    <r>
      <rPr>
        <sz val="11"/>
        <color theme="1"/>
        <rFont val="Calibri"/>
        <family val="2"/>
        <scheme val="minor"/>
      </rPr>
      <t xml:space="preserve"> (300ml sidtill water+7mg indigo)</t>
    </r>
  </si>
  <si>
    <t>1000 g for 10 min.</t>
  </si>
  <si>
    <t>15,000 x g for 5</t>
  </si>
  <si>
    <t>with dilution factor</t>
  </si>
  <si>
    <t>dilution factor</t>
  </si>
  <si>
    <t>OD610infiltrate</t>
  </si>
  <si>
    <t>Apoplast dilution factor (OD610infiltrate / (OD610infiltrate - OD610AWF))</t>
  </si>
  <si>
    <t>OD610 apoplast+indigo ( OD610AWF)</t>
  </si>
  <si>
    <t xml:space="preserve">with dilution factor </t>
  </si>
  <si>
    <t>converted to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</si>
</sst>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6"/>
      <color rgb="FF1F2328"/>
      <name val="Segoe UI"/>
      <family val="2"/>
    </font>
    <font>
      <sz val="6"/>
      <color rgb="FF59636E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3" tint="-0.249977111117893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14" fontId="0" fillId="3" borderId="2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/>
    <xf numFmtId="14" fontId="0" fillId="4" borderId="2" xfId="0" applyNumberFormat="1" applyFill="1" applyBorder="1" applyAlignment="1">
      <alignment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/>
    <xf numFmtId="14" fontId="0" fillId="5" borderId="2" xfId="0" applyNumberFormat="1" applyFill="1" applyBorder="1" applyAlignment="1">
      <alignment vertical="center"/>
    </xf>
    <xf numFmtId="2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0" xfId="0" applyFill="1"/>
    <xf numFmtId="0" fontId="0" fillId="6" borderId="11" xfId="0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vertical="center"/>
    </xf>
    <xf numFmtId="14" fontId="0" fillId="3" borderId="0" xfId="0" applyNumberFormat="1" applyFill="1" applyBorder="1" applyAlignment="1">
      <alignment vertical="center"/>
    </xf>
    <xf numFmtId="14" fontId="0" fillId="4" borderId="0" xfId="0" applyNumberFormat="1" applyFill="1" applyBorder="1" applyAlignment="1">
      <alignment vertical="center"/>
    </xf>
    <xf numFmtId="14" fontId="0" fillId="5" borderId="0" xfId="0" applyNumberFormat="1" applyFill="1" applyBorder="1" applyAlignment="1">
      <alignment vertical="center"/>
    </xf>
    <xf numFmtId="1" fontId="0" fillId="3" borderId="0" xfId="0" applyNumberFormat="1" applyFill="1" applyBorder="1" applyAlignment="1">
      <alignment vertical="center"/>
    </xf>
    <xf numFmtId="1" fontId="0" fillId="4" borderId="0" xfId="0" applyNumberFormat="1" applyFill="1" applyBorder="1" applyAlignment="1">
      <alignment vertical="center"/>
    </xf>
    <xf numFmtId="1" fontId="0" fillId="5" borderId="0" xfId="0" applyNumberFormat="1" applyFill="1" applyBorder="1" applyAlignment="1">
      <alignment vertical="center"/>
    </xf>
    <xf numFmtId="1" fontId="0" fillId="0" borderId="0" xfId="0" applyNumberFormat="1" applyBorder="1" applyAlignment="1">
      <alignment vertical="center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9" borderId="0" xfId="0" applyFill="1"/>
    <xf numFmtId="0" fontId="5" fillId="9" borderId="0" xfId="0" applyFont="1" applyFill="1" applyAlignment="1">
      <alignment vertical="center"/>
    </xf>
    <xf numFmtId="0" fontId="6" fillId="9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Fructose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>
        <c:manualLayout>
          <c:layoutTarget val="inner"/>
          <c:xMode val="edge"/>
          <c:yMode val="edge"/>
          <c:x val="0.19832984484534374"/>
          <c:y val="0.21129223584258086"/>
          <c:w val="0.7371975813149938"/>
          <c:h val="0.5819369643075633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'GC-MS'!$B$38:$B$46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'GC-MS'!$D$38:$D$46</c:f>
              <c:numCache>
                <c:formatCode>0.00</c:formatCode>
                <c:ptCount val="9"/>
                <c:pt idx="0">
                  <c:v>0.50864509325044371</c:v>
                </c:pt>
                <c:pt idx="1">
                  <c:v>0.17780731701690844</c:v>
                </c:pt>
                <c:pt idx="2">
                  <c:v>0.13783724811661655</c:v>
                </c:pt>
                <c:pt idx="3">
                  <c:v>0.11609177586380233</c:v>
                </c:pt>
                <c:pt idx="4">
                  <c:v>1.073610896594331</c:v>
                </c:pt>
                <c:pt idx="5">
                  <c:v>0.42096989056322665</c:v>
                </c:pt>
                <c:pt idx="6">
                  <c:v>0.38673290408525685</c:v>
                </c:pt>
                <c:pt idx="7">
                  <c:v>0.47934664136928762</c:v>
                </c:pt>
                <c:pt idx="8">
                  <c:v>1.0185390763765534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3-4A1A-B834-FE297DF63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16064"/>
        <c:axId val="587214400"/>
      </c:scatterChart>
      <c:valAx>
        <c:axId val="5872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</a:t>
                </a:r>
              </a:p>
            </c:rich>
          </c:tx>
          <c:layout>
            <c:manualLayout>
              <c:xMode val="edge"/>
              <c:yMode val="edge"/>
              <c:x val="0.48765640054486858"/>
              <c:y val="0.873547033096019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4400"/>
        <c:crosses val="autoZero"/>
        <c:crossBetween val="midCat"/>
      </c:valAx>
      <c:valAx>
        <c:axId val="5872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mM</a:t>
                </a:r>
              </a:p>
            </c:rich>
          </c:tx>
          <c:layout>
            <c:manualLayout>
              <c:xMode val="edge"/>
              <c:yMode val="edge"/>
              <c:x val="1.2658227848101266E-2"/>
              <c:y val="0.44012065457908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'GC-MS'!$B$38:$B$46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'GC-MS'!$F$38:$F$46</c:f>
              <c:numCache>
                <c:formatCode>0.00</c:formatCode>
                <c:ptCount val="9"/>
                <c:pt idx="0">
                  <c:v>0.21040792424343335</c:v>
                </c:pt>
                <c:pt idx="1">
                  <c:v>6.8749940527733075E-2</c:v>
                </c:pt>
                <c:pt idx="2">
                  <c:v>6.9968096615117423E-2</c:v>
                </c:pt>
                <c:pt idx="3">
                  <c:v>5.4669600811372239E-2</c:v>
                </c:pt>
                <c:pt idx="4">
                  <c:v>0.39762640494180379</c:v>
                </c:pt>
                <c:pt idx="5">
                  <c:v>0.12806105676155924</c:v>
                </c:pt>
                <c:pt idx="6">
                  <c:v>0.23290981149670245</c:v>
                </c:pt>
                <c:pt idx="7">
                  <c:v>0.19028962777713843</c:v>
                </c:pt>
                <c:pt idx="8">
                  <c:v>0.35043702864924442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E-4DF4-B4AA-6C6D6339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16064"/>
        <c:axId val="587214400"/>
      </c:scatterChart>
      <c:valAx>
        <c:axId val="5872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4400"/>
        <c:crosses val="autoZero"/>
        <c:crossBetween val="midCat"/>
      </c:valAx>
      <c:valAx>
        <c:axId val="5872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Myo-inositol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'GC-MS'!$B$38:$B$46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'GC-MS'!$J$38:$J$46</c:f>
              <c:numCache>
                <c:formatCode>0.00</c:formatCode>
                <c:ptCount val="9"/>
                <c:pt idx="0">
                  <c:v>0.12693577930728231</c:v>
                </c:pt>
                <c:pt idx="1">
                  <c:v>7.5928179280754737E-2</c:v>
                </c:pt>
                <c:pt idx="2">
                  <c:v>4.2347415324309405E-2</c:v>
                </c:pt>
                <c:pt idx="3">
                  <c:v>7.7509718824357324E-2</c:v>
                </c:pt>
                <c:pt idx="4">
                  <c:v>0.14045486137925697</c:v>
                </c:pt>
                <c:pt idx="5">
                  <c:v>7.6544863347275491E-2</c:v>
                </c:pt>
                <c:pt idx="6">
                  <c:v>0.17853963143872079</c:v>
                </c:pt>
                <c:pt idx="7">
                  <c:v>0.20618036492814454</c:v>
                </c:pt>
                <c:pt idx="8">
                  <c:v>0.16799881586737703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0-44EF-A9D0-FF2BBA87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16064"/>
        <c:axId val="587214400"/>
      </c:scatterChart>
      <c:valAx>
        <c:axId val="5872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4400"/>
        <c:crosses val="autoZero"/>
        <c:crossBetween val="midCat"/>
      </c:valAx>
      <c:valAx>
        <c:axId val="5872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'GC-MS'!$B$38:$B$46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'GC-MS'!$N$38:$N$46</c:f>
              <c:numCache>
                <c:formatCode>0.00</c:formatCode>
                <c:ptCount val="9"/>
                <c:pt idx="0">
                  <c:v>7.1977072508775247E-2</c:v>
                </c:pt>
                <c:pt idx="1">
                  <c:v>1.69595505802566E-2</c:v>
                </c:pt>
                <c:pt idx="2">
                  <c:v>2.7516978751583418E-2</c:v>
                </c:pt>
                <c:pt idx="3">
                  <c:v>0.13354856841121596</c:v>
                </c:pt>
                <c:pt idx="4">
                  <c:v>0.32515669894375177</c:v>
                </c:pt>
                <c:pt idx="5">
                  <c:v>0.62828948096921966</c:v>
                </c:pt>
                <c:pt idx="6">
                  <c:v>1.394124126571286</c:v>
                </c:pt>
                <c:pt idx="7">
                  <c:v>1.8951273371052699</c:v>
                </c:pt>
                <c:pt idx="8">
                  <c:v>2.8747981160582499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2-4885-A269-309CEA111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16064"/>
        <c:axId val="587214400"/>
      </c:scatterChart>
      <c:valAx>
        <c:axId val="5872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4400"/>
        <c:crosses val="autoZero"/>
        <c:crossBetween val="midCat"/>
      </c:valAx>
      <c:valAx>
        <c:axId val="5872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Xylitol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'GC-MS'!$B$38:$B$46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'GC-MS'!$P$38:$P$46</c:f>
              <c:numCache>
                <c:formatCode>0.00</c:formatCode>
                <c:ptCount val="9"/>
                <c:pt idx="0">
                  <c:v>8.6551100887282226E-2</c:v>
                </c:pt>
                <c:pt idx="1">
                  <c:v>5.4517286853796858E-2</c:v>
                </c:pt>
                <c:pt idx="2">
                  <c:v>3.8414903622786017E-2</c:v>
                </c:pt>
                <c:pt idx="3">
                  <c:v>5.8222087190520737E-2</c:v>
                </c:pt>
                <c:pt idx="4">
                  <c:v>0.1641686550743687</c:v>
                </c:pt>
                <c:pt idx="5">
                  <c:v>6.3795278428545626E-2</c:v>
                </c:pt>
                <c:pt idx="6">
                  <c:v>0.16552188330893525</c:v>
                </c:pt>
                <c:pt idx="7">
                  <c:v>0.18865951662533967</c:v>
                </c:pt>
                <c:pt idx="8">
                  <c:v>0.13867893526125522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5-4F88-9FF4-71969C247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16064"/>
        <c:axId val="587214400"/>
      </c:scatterChart>
      <c:valAx>
        <c:axId val="5872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4400"/>
        <c:crosses val="autoZero"/>
        <c:crossBetween val="midCat"/>
      </c:valAx>
      <c:valAx>
        <c:axId val="5872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721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52</xdr:row>
      <xdr:rowOff>85725</xdr:rowOff>
    </xdr:from>
    <xdr:to>
      <xdr:col>5</xdr:col>
      <xdr:colOff>476250</xdr:colOff>
      <xdr:row>62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C24AB5-16F6-4B1F-B383-72CAC6A20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52</xdr:row>
      <xdr:rowOff>57150</xdr:rowOff>
    </xdr:from>
    <xdr:to>
      <xdr:col>10</xdr:col>
      <xdr:colOff>542925</xdr:colOff>
      <xdr:row>62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D8B7AB-A3DA-4592-AA72-66456656F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52</xdr:row>
      <xdr:rowOff>38100</xdr:rowOff>
    </xdr:from>
    <xdr:to>
      <xdr:col>15</xdr:col>
      <xdr:colOff>438150</xdr:colOff>
      <xdr:row>62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ACEB88-DCFE-4D85-A940-D521B5FCC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142875</xdr:colOff>
      <xdr:row>62</xdr:row>
      <xdr:rowOff>152400</xdr:rowOff>
    </xdr:from>
    <xdr:to>
      <xdr:col>5</xdr:col>
      <xdr:colOff>466725</xdr:colOff>
      <xdr:row>72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5D7B97-6118-4246-BDB4-9297E6986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57150</xdr:colOff>
      <xdr:row>62</xdr:row>
      <xdr:rowOff>152400</xdr:rowOff>
    </xdr:from>
    <xdr:to>
      <xdr:col>10</xdr:col>
      <xdr:colOff>552450</xdr:colOff>
      <xdr:row>72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DB192F-144A-4815-9AB6-5F90C9A83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88"/>
  <sheetViews>
    <sheetView tabSelected="1" topLeftCell="G38" workbookViewId="0">
      <selection activeCell="N44" sqref="N44"/>
    </sheetView>
  </sheetViews>
  <sheetFormatPr defaultColWidth="9.1796875" defaultRowHeight="14.5" x14ac:dyDescent="0.35"/>
  <cols>
    <col min="1" max="1" width="48" style="12" customWidth="1"/>
    <col min="2" max="2" width="10" style="8" customWidth="1"/>
    <col min="3" max="3" width="11.54296875" style="3" customWidth="1"/>
    <col min="5" max="5" width="9.54296875" customWidth="1"/>
    <col min="7" max="7" width="10.26953125" customWidth="1"/>
    <col min="12" max="12" width="9.7265625" customWidth="1"/>
    <col min="13" max="13" width="10.453125" customWidth="1"/>
  </cols>
  <sheetData>
    <row r="1" spans="1:17" ht="18.5" x14ac:dyDescent="0.35">
      <c r="A1" s="15"/>
      <c r="B1" s="15"/>
    </row>
    <row r="2" spans="1:17" s="5" customFormat="1" ht="18.5" x14ac:dyDescent="0.35">
      <c r="A2" s="15"/>
      <c r="B2" s="15"/>
      <c r="C2" s="3"/>
    </row>
    <row r="3" spans="1:17" ht="16.5" customHeight="1" x14ac:dyDescent="0.35">
      <c r="A3" s="15"/>
      <c r="B3" s="15"/>
    </row>
    <row r="4" spans="1:17" x14ac:dyDescent="0.35">
      <c r="A4" s="11" t="s">
        <v>0</v>
      </c>
      <c r="B4" s="11"/>
      <c r="C4" s="13" t="s">
        <v>14</v>
      </c>
    </row>
    <row r="5" spans="1:17" x14ac:dyDescent="0.35">
      <c r="A5" s="11" t="s">
        <v>1</v>
      </c>
      <c r="B5" s="11"/>
      <c r="C5" s="6" t="s">
        <v>15</v>
      </c>
    </row>
    <row r="6" spans="1:17" x14ac:dyDescent="0.35">
      <c r="A6" s="11" t="s">
        <v>2</v>
      </c>
      <c r="B6" s="11"/>
      <c r="C6" s="6" t="s">
        <v>16</v>
      </c>
    </row>
    <row r="7" spans="1:17" x14ac:dyDescent="0.35">
      <c r="A7" s="11" t="s">
        <v>3</v>
      </c>
      <c r="B7" s="11"/>
      <c r="C7" s="6" t="s">
        <v>29</v>
      </c>
    </row>
    <row r="8" spans="1:17" x14ac:dyDescent="0.35">
      <c r="A8" s="8"/>
      <c r="D8" s="4"/>
    </row>
    <row r="9" spans="1:17" s="14" customFormat="1" ht="40" customHeight="1" x14ac:dyDescent="0.35">
      <c r="A9" s="10"/>
      <c r="B9" s="38"/>
      <c r="C9" s="7" t="s">
        <v>17</v>
      </c>
      <c r="D9" s="14" t="s">
        <v>18</v>
      </c>
      <c r="E9" s="14" t="s">
        <v>19</v>
      </c>
      <c r="F9" s="14" t="s">
        <v>20</v>
      </c>
      <c r="G9" s="14" t="s">
        <v>31</v>
      </c>
      <c r="H9" s="14" t="s">
        <v>21</v>
      </c>
      <c r="I9" s="14" t="s">
        <v>32</v>
      </c>
      <c r="J9" s="14" t="s">
        <v>22</v>
      </c>
      <c r="K9" s="14" t="s">
        <v>23</v>
      </c>
      <c r="L9" s="14" t="s">
        <v>24</v>
      </c>
      <c r="M9" s="14" t="s">
        <v>25</v>
      </c>
      <c r="N9" s="14" t="s">
        <v>26</v>
      </c>
      <c r="O9" s="14" t="s">
        <v>27</v>
      </c>
      <c r="P9" s="14" t="s">
        <v>28</v>
      </c>
      <c r="Q9" s="14" t="s">
        <v>48</v>
      </c>
    </row>
    <row r="10" spans="1:17" x14ac:dyDescent="0.35">
      <c r="A10" s="9" t="s">
        <v>4</v>
      </c>
      <c r="B10" s="39"/>
      <c r="C10" s="16" t="s">
        <v>30</v>
      </c>
      <c r="D10" s="16" t="s">
        <v>30</v>
      </c>
      <c r="E10" s="16" t="s">
        <v>30</v>
      </c>
      <c r="F10" s="16" t="s">
        <v>30</v>
      </c>
      <c r="G10" s="16" t="s">
        <v>30</v>
      </c>
      <c r="H10" s="16" t="s">
        <v>30</v>
      </c>
      <c r="I10" s="16" t="s">
        <v>30</v>
      </c>
      <c r="J10" s="16" t="s">
        <v>30</v>
      </c>
      <c r="K10" s="16" t="s">
        <v>30</v>
      </c>
      <c r="L10" s="16" t="s">
        <v>30</v>
      </c>
      <c r="M10" s="16" t="s">
        <v>30</v>
      </c>
      <c r="N10" s="16" t="s">
        <v>30</v>
      </c>
      <c r="O10" s="16" t="s">
        <v>30</v>
      </c>
      <c r="P10" s="16" t="s">
        <v>30</v>
      </c>
    </row>
    <row r="11" spans="1:17" s="19" customFormat="1" x14ac:dyDescent="0.35">
      <c r="A11" s="17" t="s">
        <v>5</v>
      </c>
      <c r="B11" s="40"/>
      <c r="C11" s="18" t="s">
        <v>30</v>
      </c>
      <c r="D11" s="18">
        <v>14.662000000000001</v>
      </c>
      <c r="E11" s="18" t="s">
        <v>30</v>
      </c>
      <c r="F11" s="18">
        <v>6.0650000000000004</v>
      </c>
      <c r="G11" s="18" t="s">
        <v>30</v>
      </c>
      <c r="H11" s="18" t="s">
        <v>30</v>
      </c>
      <c r="I11" s="18" t="s">
        <v>30</v>
      </c>
      <c r="J11" s="18">
        <v>3.6589999999999998</v>
      </c>
      <c r="K11" s="18" t="s">
        <v>30</v>
      </c>
      <c r="L11" s="18" t="s">
        <v>30</v>
      </c>
      <c r="M11" s="18" t="s">
        <v>30</v>
      </c>
      <c r="N11" s="18">
        <v>3.9420000000000002</v>
      </c>
      <c r="O11" s="18" t="s">
        <v>30</v>
      </c>
      <c r="P11" s="18">
        <v>2.1070000000000002</v>
      </c>
      <c r="Q11" s="5">
        <v>6.2499999999999956</v>
      </c>
    </row>
    <row r="12" spans="1:17" s="19" customFormat="1" x14ac:dyDescent="0.35">
      <c r="A12" s="17" t="s">
        <v>6</v>
      </c>
      <c r="B12" s="40"/>
      <c r="C12" s="18" t="s">
        <v>30</v>
      </c>
      <c r="D12" s="18">
        <v>8.2219999999999995</v>
      </c>
      <c r="E12" s="18" t="s">
        <v>30</v>
      </c>
      <c r="F12" s="18">
        <v>3.1789999999999998</v>
      </c>
      <c r="G12" s="18" t="s">
        <v>30</v>
      </c>
      <c r="H12" s="18" t="s">
        <v>30</v>
      </c>
      <c r="I12" s="18" t="s">
        <v>30</v>
      </c>
      <c r="J12" s="18">
        <v>3.5110000000000001</v>
      </c>
      <c r="K12" s="18" t="s">
        <v>30</v>
      </c>
      <c r="L12" s="18" t="s">
        <v>30</v>
      </c>
      <c r="M12" s="18" t="s">
        <v>30</v>
      </c>
      <c r="N12" s="18">
        <v>1.49</v>
      </c>
      <c r="O12" s="18" t="s">
        <v>30</v>
      </c>
      <c r="P12" s="18">
        <v>2.129</v>
      </c>
      <c r="Q12" s="5">
        <v>3.8961038961038947</v>
      </c>
    </row>
    <row r="13" spans="1:17" s="19" customFormat="1" x14ac:dyDescent="0.35">
      <c r="A13" s="17" t="s">
        <v>7</v>
      </c>
      <c r="B13" s="40"/>
      <c r="C13" s="18" t="s">
        <v>30</v>
      </c>
      <c r="D13" s="18">
        <v>4.8010000000000002</v>
      </c>
      <c r="E13" s="18" t="s">
        <v>30</v>
      </c>
      <c r="F13" s="18">
        <v>2.4369999999999998</v>
      </c>
      <c r="G13" s="18" t="s">
        <v>30</v>
      </c>
      <c r="H13" s="18" t="s">
        <v>30</v>
      </c>
      <c r="I13" s="18" t="s">
        <v>30</v>
      </c>
      <c r="J13" s="18">
        <v>1.4750000000000001</v>
      </c>
      <c r="K13" s="18" t="s">
        <v>30</v>
      </c>
      <c r="L13" s="18" t="s">
        <v>30</v>
      </c>
      <c r="M13" s="18" t="s">
        <v>30</v>
      </c>
      <c r="N13" s="18">
        <v>1.821</v>
      </c>
      <c r="O13" s="18" t="s">
        <v>30</v>
      </c>
      <c r="P13" s="18">
        <v>1.1299999999999999</v>
      </c>
      <c r="Q13" s="5">
        <v>5.1724137931034448</v>
      </c>
    </row>
    <row r="14" spans="1:17" s="22" customFormat="1" x14ac:dyDescent="0.35">
      <c r="A14" s="20" t="s">
        <v>8</v>
      </c>
      <c r="B14" s="41"/>
      <c r="C14" s="21" t="s">
        <v>30</v>
      </c>
      <c r="D14" s="21">
        <v>3.6949999999999998</v>
      </c>
      <c r="E14" s="21" t="s">
        <v>30</v>
      </c>
      <c r="F14" s="21">
        <v>1.74</v>
      </c>
      <c r="G14" s="21" t="s">
        <v>30</v>
      </c>
      <c r="H14" s="21" t="s">
        <v>30</v>
      </c>
      <c r="I14" s="21" t="s">
        <v>30</v>
      </c>
      <c r="J14" s="21">
        <v>2.4670000000000001</v>
      </c>
      <c r="K14" s="21" t="s">
        <v>30</v>
      </c>
      <c r="L14" s="21" t="s">
        <v>30</v>
      </c>
      <c r="M14" s="21" t="s">
        <v>30</v>
      </c>
      <c r="N14" s="21">
        <v>8.0760000000000005</v>
      </c>
      <c r="O14" s="21" t="s">
        <v>30</v>
      </c>
      <c r="P14" s="21">
        <v>1.5649999999999999</v>
      </c>
      <c r="Q14">
        <v>5.6603773584905621</v>
      </c>
    </row>
    <row r="15" spans="1:17" s="22" customFormat="1" x14ac:dyDescent="0.35">
      <c r="A15" s="20" t="s">
        <v>9</v>
      </c>
      <c r="B15" s="41"/>
      <c r="C15" s="21" t="s">
        <v>30</v>
      </c>
      <c r="D15" s="21">
        <v>14.829000000000001</v>
      </c>
      <c r="E15" s="21" t="s">
        <v>30</v>
      </c>
      <c r="F15" s="21">
        <v>5.492</v>
      </c>
      <c r="G15" s="21" t="s">
        <v>30</v>
      </c>
      <c r="H15" s="21" t="s">
        <v>30</v>
      </c>
      <c r="I15" s="21" t="s">
        <v>30</v>
      </c>
      <c r="J15" s="21">
        <v>1.94</v>
      </c>
      <c r="K15" s="21" t="s">
        <v>30</v>
      </c>
      <c r="L15" s="21" t="s">
        <v>30</v>
      </c>
      <c r="M15" s="21" t="s">
        <v>30</v>
      </c>
      <c r="N15" s="21">
        <v>8.5329999999999995</v>
      </c>
      <c r="O15" s="21" t="s">
        <v>30</v>
      </c>
      <c r="P15" s="21">
        <v>1.915</v>
      </c>
      <c r="Q15">
        <v>13.043478260869556</v>
      </c>
    </row>
    <row r="16" spans="1:17" s="22" customFormat="1" x14ac:dyDescent="0.35">
      <c r="A16" s="20" t="s">
        <v>10</v>
      </c>
      <c r="B16" s="41"/>
      <c r="C16" s="21" t="s">
        <v>30</v>
      </c>
      <c r="D16" s="21">
        <v>7.8369999999999997</v>
      </c>
      <c r="E16" s="21" t="s">
        <v>30</v>
      </c>
      <c r="F16" s="21">
        <v>2.3839999999999999</v>
      </c>
      <c r="G16" s="21" t="s">
        <v>30</v>
      </c>
      <c r="H16" s="21" t="s">
        <v>30</v>
      </c>
      <c r="I16" s="21" t="s">
        <v>30</v>
      </c>
      <c r="J16" s="21">
        <v>1.425</v>
      </c>
      <c r="K16" s="21" t="s">
        <v>30</v>
      </c>
      <c r="L16" s="21" t="s">
        <v>30</v>
      </c>
      <c r="M16" s="21" t="s">
        <v>30</v>
      </c>
      <c r="N16" s="21">
        <v>22.222999999999999</v>
      </c>
      <c r="O16" s="21" t="s">
        <v>30</v>
      </c>
      <c r="P16" s="21">
        <v>1.0029999999999999</v>
      </c>
      <c r="Q16">
        <v>9.6774193548387029</v>
      </c>
    </row>
    <row r="17" spans="1:158" s="25" customFormat="1" x14ac:dyDescent="0.35">
      <c r="A17" s="23" t="s">
        <v>11</v>
      </c>
      <c r="B17" s="42"/>
      <c r="C17" s="24" t="s">
        <v>30</v>
      </c>
      <c r="D17" s="24">
        <v>6.8860000000000001</v>
      </c>
      <c r="E17" s="24" t="s">
        <v>30</v>
      </c>
      <c r="F17" s="24">
        <v>4.1470000000000002</v>
      </c>
      <c r="G17" s="24" t="s">
        <v>30</v>
      </c>
      <c r="H17" s="24" t="s">
        <v>30</v>
      </c>
      <c r="I17" s="24" t="s">
        <v>30</v>
      </c>
      <c r="J17" s="24">
        <v>3.1789999999999998</v>
      </c>
      <c r="K17" s="24" t="s">
        <v>30</v>
      </c>
      <c r="L17" s="24" t="s">
        <v>30</v>
      </c>
      <c r="M17" s="24" t="s">
        <v>30</v>
      </c>
      <c r="N17" s="24">
        <v>47.162999999999997</v>
      </c>
      <c r="O17" s="24" t="s">
        <v>30</v>
      </c>
      <c r="P17" s="24">
        <v>2.4889999999999999</v>
      </c>
      <c r="Q17">
        <v>10.1181818181818</v>
      </c>
    </row>
    <row r="18" spans="1:158" s="25" customFormat="1" x14ac:dyDescent="0.35">
      <c r="A18" s="23" t="s">
        <v>12</v>
      </c>
      <c r="B18" s="42"/>
      <c r="C18" s="24" t="s">
        <v>30</v>
      </c>
      <c r="D18" s="24">
        <v>6.3330000000000002</v>
      </c>
      <c r="E18" s="24" t="s">
        <v>30</v>
      </c>
      <c r="F18" s="24">
        <v>2.5139999999999998</v>
      </c>
      <c r="G18" s="24" t="s">
        <v>30</v>
      </c>
      <c r="H18" s="24" t="s">
        <v>30</v>
      </c>
      <c r="I18" s="24" t="s">
        <v>30</v>
      </c>
      <c r="J18" s="24">
        <v>2.7240000000000002</v>
      </c>
      <c r="K18" s="24" t="s">
        <v>30</v>
      </c>
      <c r="L18" s="24" t="s">
        <v>30</v>
      </c>
      <c r="M18" s="24" t="s">
        <v>30</v>
      </c>
      <c r="N18" s="24">
        <v>47.570999999999998</v>
      </c>
      <c r="O18" s="24" t="s">
        <v>30</v>
      </c>
      <c r="P18" s="24">
        <v>2.105</v>
      </c>
      <c r="Q18">
        <v>13.636363636363626</v>
      </c>
    </row>
    <row r="19" spans="1:158" s="25" customFormat="1" x14ac:dyDescent="0.35">
      <c r="A19" s="23" t="s">
        <v>13</v>
      </c>
      <c r="B19" s="42"/>
      <c r="C19" s="24" t="s">
        <v>30</v>
      </c>
      <c r="D19" s="24">
        <v>22.02</v>
      </c>
      <c r="E19" s="24" t="s">
        <v>30</v>
      </c>
      <c r="F19" s="24">
        <v>7.5759999999999996</v>
      </c>
      <c r="G19" s="24" t="s">
        <v>30</v>
      </c>
      <c r="H19" s="24" t="s">
        <v>30</v>
      </c>
      <c r="I19" s="24" t="s">
        <v>30</v>
      </c>
      <c r="J19" s="24">
        <v>3.6320000000000001</v>
      </c>
      <c r="K19" s="24" t="s">
        <v>30</v>
      </c>
      <c r="L19" s="24" t="s">
        <v>30</v>
      </c>
      <c r="M19" s="24" t="s">
        <v>30</v>
      </c>
      <c r="N19" s="24">
        <v>118.084</v>
      </c>
      <c r="O19" s="24" t="s">
        <v>30</v>
      </c>
      <c r="P19" s="24">
        <v>2.532</v>
      </c>
      <c r="Q19">
        <v>8.3333333333333268</v>
      </c>
    </row>
    <row r="20" spans="1:158" x14ac:dyDescent="0.3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58" x14ac:dyDescent="0.35">
      <c r="C21" s="2"/>
      <c r="D21" s="4"/>
    </row>
    <row r="22" spans="1:158" x14ac:dyDescent="0.35">
      <c r="A22" s="12" t="s">
        <v>47</v>
      </c>
      <c r="B22" s="54" t="s">
        <v>52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</row>
    <row r="23" spans="1:158" ht="26" x14ac:dyDescent="0.35">
      <c r="A23" s="10"/>
      <c r="B23" s="38"/>
      <c r="C23" s="7" t="s">
        <v>17</v>
      </c>
      <c r="D23" s="14" t="s">
        <v>18</v>
      </c>
      <c r="E23" s="14" t="s">
        <v>19</v>
      </c>
      <c r="F23" s="14" t="s">
        <v>20</v>
      </c>
      <c r="G23" s="14" t="s">
        <v>31</v>
      </c>
      <c r="H23" s="14" t="s">
        <v>21</v>
      </c>
      <c r="I23" s="14" t="s">
        <v>32</v>
      </c>
      <c r="J23" s="14" t="s">
        <v>22</v>
      </c>
      <c r="K23" s="14" t="s">
        <v>23</v>
      </c>
      <c r="L23" s="14" t="s">
        <v>24</v>
      </c>
      <c r="M23" s="14" t="s">
        <v>25</v>
      </c>
      <c r="N23" s="14" t="s">
        <v>26</v>
      </c>
      <c r="O23" s="14" t="s">
        <v>27</v>
      </c>
      <c r="P23" s="14" t="s">
        <v>28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</row>
    <row r="24" spans="1:158" x14ac:dyDescent="0.35">
      <c r="A24" s="9" t="s">
        <v>4</v>
      </c>
      <c r="B24" s="39"/>
      <c r="C24" s="16" t="s">
        <v>30</v>
      </c>
      <c r="D24" s="16" t="s">
        <v>30</v>
      </c>
      <c r="E24" s="16" t="s">
        <v>30</v>
      </c>
      <c r="F24" s="16" t="s">
        <v>30</v>
      </c>
      <c r="G24" s="16" t="s">
        <v>30</v>
      </c>
      <c r="H24" s="16" t="s">
        <v>30</v>
      </c>
      <c r="I24" s="16" t="s">
        <v>30</v>
      </c>
      <c r="J24" s="16" t="s">
        <v>30</v>
      </c>
      <c r="K24" s="16" t="s">
        <v>30</v>
      </c>
      <c r="L24" s="16" t="s">
        <v>30</v>
      </c>
      <c r="M24" s="16" t="s">
        <v>30</v>
      </c>
      <c r="N24" s="16" t="s">
        <v>30</v>
      </c>
      <c r="O24" s="16" t="s">
        <v>30</v>
      </c>
      <c r="P24" s="16" t="s">
        <v>30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</row>
    <row r="25" spans="1:158" x14ac:dyDescent="0.35">
      <c r="A25" s="17" t="s">
        <v>5</v>
      </c>
      <c r="B25" s="43">
        <v>0</v>
      </c>
      <c r="C25" s="18" t="s">
        <v>30</v>
      </c>
      <c r="D25" s="18">
        <f>Q11*D11</f>
        <v>91.637499999999946</v>
      </c>
      <c r="E25" s="18" t="s">
        <v>30</v>
      </c>
      <c r="F25" s="18">
        <f>F11*Q11</f>
        <v>37.906249999999979</v>
      </c>
      <c r="G25" s="18" t="s">
        <v>30</v>
      </c>
      <c r="H25" s="18" t="s">
        <v>30</v>
      </c>
      <c r="I25" s="18" t="s">
        <v>30</v>
      </c>
      <c r="J25" s="18">
        <f>Q11*J11</f>
        <v>22.868749999999981</v>
      </c>
      <c r="K25" s="18" t="s">
        <v>30</v>
      </c>
      <c r="L25" s="18" t="s">
        <v>30</v>
      </c>
      <c r="M25" s="18" t="s">
        <v>30</v>
      </c>
      <c r="N25" s="18">
        <f>N11*Q11</f>
        <v>24.637499999999985</v>
      </c>
      <c r="O25" s="18" t="s">
        <v>30</v>
      </c>
      <c r="P25" s="18">
        <f>P11*Q11</f>
        <v>13.168749999999992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</row>
    <row r="26" spans="1:158" x14ac:dyDescent="0.35">
      <c r="A26" s="17" t="s">
        <v>6</v>
      </c>
      <c r="B26" s="43">
        <v>0</v>
      </c>
      <c r="C26" s="18" t="s">
        <v>30</v>
      </c>
      <c r="D26" s="18">
        <f t="shared" ref="D26:D33" si="0">Q12*D12</f>
        <v>32.033766233766222</v>
      </c>
      <c r="E26" s="18" t="s">
        <v>30</v>
      </c>
      <c r="F26" s="18">
        <f t="shared" ref="F26:F33" si="1">F12*Q12</f>
        <v>12.385714285714281</v>
      </c>
      <c r="G26" s="18" t="s">
        <v>30</v>
      </c>
      <c r="H26" s="18" t="s">
        <v>30</v>
      </c>
      <c r="I26" s="18" t="s">
        <v>30</v>
      </c>
      <c r="J26" s="18">
        <f t="shared" ref="J26:J33" si="2">Q12*J12</f>
        <v>13.679220779220774</v>
      </c>
      <c r="K26" s="18" t="s">
        <v>30</v>
      </c>
      <c r="L26" s="18" t="s">
        <v>30</v>
      </c>
      <c r="M26" s="18" t="s">
        <v>30</v>
      </c>
      <c r="N26" s="18">
        <f t="shared" ref="N26:N33" si="3">N12*Q12</f>
        <v>5.8051948051948035</v>
      </c>
      <c r="O26" s="18" t="s">
        <v>30</v>
      </c>
      <c r="P26" s="18">
        <f t="shared" ref="P26:P33" si="4">P12*Q12</f>
        <v>8.2948051948051926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</row>
    <row r="27" spans="1:158" x14ac:dyDescent="0.35">
      <c r="A27" s="17" t="s">
        <v>7</v>
      </c>
      <c r="B27" s="43">
        <v>0</v>
      </c>
      <c r="C27" s="18" t="s">
        <v>30</v>
      </c>
      <c r="D27" s="18">
        <f t="shared" si="0"/>
        <v>24.832758620689638</v>
      </c>
      <c r="E27" s="18" t="s">
        <v>30</v>
      </c>
      <c r="F27" s="18">
        <f t="shared" si="1"/>
        <v>12.605172413793094</v>
      </c>
      <c r="G27" s="18" t="s">
        <v>30</v>
      </c>
      <c r="H27" s="18" t="s">
        <v>30</v>
      </c>
      <c r="I27" s="18" t="s">
        <v>30</v>
      </c>
      <c r="J27" s="18">
        <f t="shared" si="2"/>
        <v>7.6293103448275819</v>
      </c>
      <c r="K27" s="18" t="s">
        <v>30</v>
      </c>
      <c r="L27" s="18" t="s">
        <v>30</v>
      </c>
      <c r="M27" s="18" t="s">
        <v>30</v>
      </c>
      <c r="N27" s="18">
        <f t="shared" si="3"/>
        <v>9.4189655172413733</v>
      </c>
      <c r="O27" s="18" t="s">
        <v>30</v>
      </c>
      <c r="P27" s="18">
        <f t="shared" si="4"/>
        <v>5.8448275862068924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</row>
    <row r="28" spans="1:158" s="22" customFormat="1" x14ac:dyDescent="0.35">
      <c r="A28" s="20" t="s">
        <v>8</v>
      </c>
      <c r="B28" s="44">
        <v>1</v>
      </c>
      <c r="C28" s="21" t="s">
        <v>30</v>
      </c>
      <c r="D28" s="21">
        <f t="shared" si="0"/>
        <v>20.915094339622627</v>
      </c>
      <c r="E28" s="21" t="s">
        <v>30</v>
      </c>
      <c r="F28" s="21">
        <f t="shared" si="1"/>
        <v>9.8490566037735778</v>
      </c>
      <c r="G28" s="21" t="s">
        <v>30</v>
      </c>
      <c r="H28" s="21" t="s">
        <v>30</v>
      </c>
      <c r="I28" s="21" t="s">
        <v>30</v>
      </c>
      <c r="J28" s="21">
        <f t="shared" si="2"/>
        <v>13.964150943396216</v>
      </c>
      <c r="K28" s="21" t="s">
        <v>30</v>
      </c>
      <c r="L28" s="21" t="s">
        <v>30</v>
      </c>
      <c r="M28" s="21" t="s">
        <v>30</v>
      </c>
      <c r="N28" s="21">
        <f t="shared" si="3"/>
        <v>45.71320754716978</v>
      </c>
      <c r="O28" s="21" t="s">
        <v>30</v>
      </c>
      <c r="P28" s="21">
        <f t="shared" si="4"/>
        <v>8.8584905660377302</v>
      </c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</row>
    <row r="29" spans="1:158" s="22" customFormat="1" x14ac:dyDescent="0.35">
      <c r="A29" s="20" t="s">
        <v>9</v>
      </c>
      <c r="B29" s="44">
        <v>1</v>
      </c>
      <c r="C29" s="21" t="s">
        <v>30</v>
      </c>
      <c r="D29" s="21">
        <f t="shared" si="0"/>
        <v>193.42173913043464</v>
      </c>
      <c r="E29" s="21" t="s">
        <v>30</v>
      </c>
      <c r="F29" s="21">
        <f t="shared" si="1"/>
        <v>71.634782608695602</v>
      </c>
      <c r="G29" s="21" t="s">
        <v>30</v>
      </c>
      <c r="H29" s="21" t="s">
        <v>30</v>
      </c>
      <c r="I29" s="21" t="s">
        <v>30</v>
      </c>
      <c r="J29" s="21">
        <f t="shared" si="2"/>
        <v>25.304347826086936</v>
      </c>
      <c r="K29" s="21" t="s">
        <v>30</v>
      </c>
      <c r="L29" s="21" t="s">
        <v>30</v>
      </c>
      <c r="M29" s="21" t="s">
        <v>30</v>
      </c>
      <c r="N29" s="21">
        <f t="shared" si="3"/>
        <v>111.29999999999991</v>
      </c>
      <c r="O29" s="21" t="s">
        <v>30</v>
      </c>
      <c r="P29" s="21">
        <f t="shared" si="4"/>
        <v>24.978260869565201</v>
      </c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</row>
    <row r="30" spans="1:158" s="22" customFormat="1" x14ac:dyDescent="0.35">
      <c r="A30" s="20" t="s">
        <v>10</v>
      </c>
      <c r="B30" s="44">
        <v>1</v>
      </c>
      <c r="C30" s="21" t="s">
        <v>30</v>
      </c>
      <c r="D30" s="21">
        <f t="shared" si="0"/>
        <v>75.841935483870913</v>
      </c>
      <c r="E30" s="21" t="s">
        <v>30</v>
      </c>
      <c r="F30" s="21">
        <f t="shared" si="1"/>
        <v>23.070967741935466</v>
      </c>
      <c r="G30" s="21" t="s">
        <v>30</v>
      </c>
      <c r="H30" s="21" t="s">
        <v>30</v>
      </c>
      <c r="I30" s="21" t="s">
        <v>30</v>
      </c>
      <c r="J30" s="21">
        <f t="shared" si="2"/>
        <v>13.790322580645151</v>
      </c>
      <c r="K30" s="21" t="s">
        <v>30</v>
      </c>
      <c r="L30" s="21" t="s">
        <v>30</v>
      </c>
      <c r="M30" s="21" t="s">
        <v>30</v>
      </c>
      <c r="N30" s="21">
        <f t="shared" si="3"/>
        <v>215.06129032258048</v>
      </c>
      <c r="O30" s="21" t="s">
        <v>30</v>
      </c>
      <c r="P30" s="21">
        <f t="shared" si="4"/>
        <v>9.7064516129032175</v>
      </c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</row>
    <row r="31" spans="1:158" s="25" customFormat="1" x14ac:dyDescent="0.35">
      <c r="A31" s="23" t="s">
        <v>11</v>
      </c>
      <c r="B31" s="45">
        <v>2</v>
      </c>
      <c r="C31" s="24" t="s">
        <v>30</v>
      </c>
      <c r="D31" s="24">
        <f t="shared" si="0"/>
        <v>69.673799999999872</v>
      </c>
      <c r="E31" s="24" t="s">
        <v>30</v>
      </c>
      <c r="F31" s="24">
        <f t="shared" si="1"/>
        <v>41.960099999999926</v>
      </c>
      <c r="G31" s="24" t="s">
        <v>30</v>
      </c>
      <c r="H31" s="24" t="s">
        <v>30</v>
      </c>
      <c r="I31" s="24" t="s">
        <v>30</v>
      </c>
      <c r="J31" s="24">
        <f t="shared" si="2"/>
        <v>32.165699999999937</v>
      </c>
      <c r="K31" s="24" t="s">
        <v>30</v>
      </c>
      <c r="L31" s="24" t="s">
        <v>30</v>
      </c>
      <c r="M31" s="24" t="s">
        <v>30</v>
      </c>
      <c r="N31" s="24">
        <f>N17*Q17</f>
        <v>477.20380909090818</v>
      </c>
      <c r="O31" s="24" t="s">
        <v>30</v>
      </c>
      <c r="P31" s="24">
        <f t="shared" si="4"/>
        <v>25.184154545454497</v>
      </c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</row>
    <row r="32" spans="1:158" s="25" customFormat="1" x14ac:dyDescent="0.35">
      <c r="A32" s="23" t="s">
        <v>12</v>
      </c>
      <c r="B32" s="45">
        <v>2</v>
      </c>
      <c r="C32" s="24" t="s">
        <v>30</v>
      </c>
      <c r="D32" s="24">
        <f>Q18*D18</f>
        <v>86.359090909090853</v>
      </c>
      <c r="E32" s="24" t="s">
        <v>30</v>
      </c>
      <c r="F32" s="24">
        <f t="shared" si="1"/>
        <v>34.281818181818153</v>
      </c>
      <c r="G32" s="24" t="s">
        <v>30</v>
      </c>
      <c r="H32" s="24" t="s">
        <v>30</v>
      </c>
      <c r="I32" s="24" t="s">
        <v>30</v>
      </c>
      <c r="J32" s="24">
        <f t="shared" si="2"/>
        <v>37.14545454545452</v>
      </c>
      <c r="K32" s="24" t="s">
        <v>30</v>
      </c>
      <c r="L32" s="24" t="s">
        <v>30</v>
      </c>
      <c r="M32" s="24" t="s">
        <v>30</v>
      </c>
      <c r="N32" s="24">
        <f t="shared" si="3"/>
        <v>648.69545454545403</v>
      </c>
      <c r="O32" s="24" t="s">
        <v>30</v>
      </c>
      <c r="P32" s="24">
        <f t="shared" si="4"/>
        <v>28.704545454545432</v>
      </c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</row>
    <row r="33" spans="1:158" s="25" customFormat="1" x14ac:dyDescent="0.35">
      <c r="A33" s="23" t="s">
        <v>13</v>
      </c>
      <c r="B33" s="45">
        <v>2</v>
      </c>
      <c r="C33" s="24" t="s">
        <v>30</v>
      </c>
      <c r="D33" s="24">
        <f t="shared" si="0"/>
        <v>183.49999999999986</v>
      </c>
      <c r="E33" s="24" t="s">
        <v>30</v>
      </c>
      <c r="F33" s="24">
        <f t="shared" si="1"/>
        <v>63.133333333333283</v>
      </c>
      <c r="G33" s="24" t="s">
        <v>30</v>
      </c>
      <c r="H33" s="24" t="s">
        <v>30</v>
      </c>
      <c r="I33" s="24" t="s">
        <v>30</v>
      </c>
      <c r="J33" s="24">
        <f t="shared" si="2"/>
        <v>30.266666666666644</v>
      </c>
      <c r="K33" s="24" t="s">
        <v>30</v>
      </c>
      <c r="L33" s="24" t="s">
        <v>30</v>
      </c>
      <c r="M33" s="24" t="s">
        <v>30</v>
      </c>
      <c r="N33" s="24">
        <f t="shared" si="3"/>
        <v>984.03333333333262</v>
      </c>
      <c r="O33" s="24" t="s">
        <v>30</v>
      </c>
      <c r="P33" s="24">
        <f t="shared" si="4"/>
        <v>21.099999999999984</v>
      </c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</row>
    <row r="34" spans="1:158" x14ac:dyDescent="0.35">
      <c r="B34" s="4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</row>
    <row r="35" spans="1:158" x14ac:dyDescent="0.35">
      <c r="B35" s="52" t="s">
        <v>53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</row>
    <row r="36" spans="1:158" ht="26" x14ac:dyDescent="0.35">
      <c r="A36" s="10"/>
      <c r="B36" s="38"/>
      <c r="C36" s="7" t="s">
        <v>17</v>
      </c>
      <c r="D36" s="14" t="s">
        <v>18</v>
      </c>
      <c r="E36" s="14" t="s">
        <v>19</v>
      </c>
      <c r="F36" s="14" t="s">
        <v>20</v>
      </c>
      <c r="G36" s="14" t="s">
        <v>31</v>
      </c>
      <c r="H36" s="14" t="s">
        <v>21</v>
      </c>
      <c r="I36" s="14" t="s">
        <v>32</v>
      </c>
      <c r="J36" s="14" t="s">
        <v>22</v>
      </c>
      <c r="K36" s="14" t="s">
        <v>23</v>
      </c>
      <c r="L36" s="14" t="s">
        <v>24</v>
      </c>
      <c r="M36" s="14" t="s">
        <v>25</v>
      </c>
      <c r="N36" s="14" t="s">
        <v>26</v>
      </c>
      <c r="O36" s="14" t="s">
        <v>27</v>
      </c>
      <c r="P36" s="14" t="s">
        <v>28</v>
      </c>
      <c r="Q36" s="1"/>
      <c r="R36" s="1"/>
      <c r="S36" s="24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</row>
    <row r="37" spans="1:158" x14ac:dyDescent="0.35">
      <c r="A37" s="9" t="s">
        <v>4</v>
      </c>
      <c r="B37" s="39"/>
      <c r="C37" s="16" t="s">
        <v>30</v>
      </c>
      <c r="D37" s="16" t="s">
        <v>30</v>
      </c>
      <c r="E37" s="16" t="s">
        <v>30</v>
      </c>
      <c r="F37" s="16" t="s">
        <v>30</v>
      </c>
      <c r="G37" s="16" t="s">
        <v>30</v>
      </c>
      <c r="H37" s="16" t="s">
        <v>30</v>
      </c>
      <c r="I37" s="16" t="s">
        <v>30</v>
      </c>
      <c r="J37" s="16" t="s">
        <v>30</v>
      </c>
      <c r="K37" s="16" t="s">
        <v>30</v>
      </c>
      <c r="L37" s="16" t="s">
        <v>30</v>
      </c>
      <c r="M37" s="16" t="s">
        <v>30</v>
      </c>
      <c r="N37" s="16" t="s">
        <v>30</v>
      </c>
      <c r="O37" s="16" t="s">
        <v>30</v>
      </c>
      <c r="P37" s="16" t="s">
        <v>30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</row>
    <row r="38" spans="1:158" x14ac:dyDescent="0.35">
      <c r="A38" s="17" t="s">
        <v>5</v>
      </c>
      <c r="B38" s="43">
        <v>0</v>
      </c>
      <c r="C38" s="18" t="s">
        <v>30</v>
      </c>
      <c r="D38" s="18">
        <f>D25/180.16</f>
        <v>0.50864509325044371</v>
      </c>
      <c r="E38" s="18" t="s">
        <v>30</v>
      </c>
      <c r="F38" s="18">
        <f>F25/180.156</f>
        <v>0.21040792424343335</v>
      </c>
      <c r="G38" s="18" t="s">
        <v>30</v>
      </c>
      <c r="H38" s="18" t="s">
        <v>30</v>
      </c>
      <c r="I38" s="18" t="s">
        <v>30</v>
      </c>
      <c r="J38" s="18">
        <f>J25/180.16</f>
        <v>0.12693577930728231</v>
      </c>
      <c r="K38" s="18" t="s">
        <v>30</v>
      </c>
      <c r="L38" s="18" t="s">
        <v>30</v>
      </c>
      <c r="M38" s="18" t="s">
        <v>30</v>
      </c>
      <c r="N38" s="18">
        <f>(N25/342.2965)</f>
        <v>7.1977072508775247E-2</v>
      </c>
      <c r="O38" s="18" t="s">
        <v>30</v>
      </c>
      <c r="P38" s="18">
        <f>P25/152.15</f>
        <v>8.6551100887282226E-2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</row>
    <row r="39" spans="1:158" x14ac:dyDescent="0.35">
      <c r="A39" s="17" t="s">
        <v>6</v>
      </c>
      <c r="B39" s="43">
        <v>0</v>
      </c>
      <c r="C39" s="18" t="s">
        <v>30</v>
      </c>
      <c r="D39" s="18">
        <f t="shared" ref="D39:D46" si="5">D26/180.16</f>
        <v>0.17780731701690844</v>
      </c>
      <c r="E39" s="18" t="s">
        <v>30</v>
      </c>
      <c r="F39" s="18">
        <f t="shared" ref="F39:F46" si="6">F26/180.156</f>
        <v>6.8749940527733075E-2</v>
      </c>
      <c r="G39" s="18" t="s">
        <v>30</v>
      </c>
      <c r="H39" s="18" t="s">
        <v>30</v>
      </c>
      <c r="I39" s="18" t="s">
        <v>30</v>
      </c>
      <c r="J39" s="18">
        <f t="shared" ref="J39:J46" si="7">J26/180.16</f>
        <v>7.5928179280754737E-2</v>
      </c>
      <c r="K39" s="18" t="s">
        <v>30</v>
      </c>
      <c r="L39" s="18" t="s">
        <v>30</v>
      </c>
      <c r="M39" s="18" t="s">
        <v>30</v>
      </c>
      <c r="N39" s="18">
        <f t="shared" ref="N39:N46" si="8">(N26/342.2965)</f>
        <v>1.69595505802566E-2</v>
      </c>
      <c r="O39" s="18" t="s">
        <v>30</v>
      </c>
      <c r="P39" s="18">
        <f t="shared" ref="P39:P46" si="9">P26/152.15</f>
        <v>5.4517286853796858E-2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</row>
    <row r="40" spans="1:158" x14ac:dyDescent="0.35">
      <c r="A40" s="17" t="s">
        <v>7</v>
      </c>
      <c r="B40" s="43">
        <v>0</v>
      </c>
      <c r="C40" s="18" t="s">
        <v>30</v>
      </c>
      <c r="D40" s="18">
        <f t="shared" si="5"/>
        <v>0.13783724811661655</v>
      </c>
      <c r="E40" s="18" t="s">
        <v>30</v>
      </c>
      <c r="F40" s="18">
        <f t="shared" si="6"/>
        <v>6.9968096615117423E-2</v>
      </c>
      <c r="G40" s="18" t="s">
        <v>30</v>
      </c>
      <c r="H40" s="18" t="s">
        <v>30</v>
      </c>
      <c r="I40" s="18" t="s">
        <v>30</v>
      </c>
      <c r="J40" s="18">
        <f t="shared" si="7"/>
        <v>4.2347415324309405E-2</v>
      </c>
      <c r="K40" s="18" t="s">
        <v>30</v>
      </c>
      <c r="L40" s="18" t="s">
        <v>30</v>
      </c>
      <c r="M40" s="18" t="s">
        <v>30</v>
      </c>
      <c r="N40" s="18">
        <f t="shared" si="8"/>
        <v>2.7516978751583418E-2</v>
      </c>
      <c r="O40" s="18" t="s">
        <v>30</v>
      </c>
      <c r="P40" s="18">
        <f t="shared" si="9"/>
        <v>3.8414903622786017E-2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</row>
    <row r="41" spans="1:158" s="22" customFormat="1" x14ac:dyDescent="0.35">
      <c r="A41" s="20" t="s">
        <v>8</v>
      </c>
      <c r="B41" s="44">
        <v>1</v>
      </c>
      <c r="C41" s="21" t="s">
        <v>30</v>
      </c>
      <c r="D41" s="21">
        <f t="shared" si="5"/>
        <v>0.11609177586380233</v>
      </c>
      <c r="E41" s="21" t="s">
        <v>30</v>
      </c>
      <c r="F41" s="21">
        <f t="shared" si="6"/>
        <v>5.4669600811372239E-2</v>
      </c>
      <c r="G41" s="21" t="s">
        <v>30</v>
      </c>
      <c r="H41" s="21" t="s">
        <v>30</v>
      </c>
      <c r="I41" s="21" t="s">
        <v>30</v>
      </c>
      <c r="J41" s="21">
        <f t="shared" si="7"/>
        <v>7.7509718824357324E-2</v>
      </c>
      <c r="K41" s="21" t="s">
        <v>30</v>
      </c>
      <c r="L41" s="21" t="s">
        <v>30</v>
      </c>
      <c r="M41" s="21" t="s">
        <v>30</v>
      </c>
      <c r="N41" s="21">
        <f t="shared" si="8"/>
        <v>0.13354856841121596</v>
      </c>
      <c r="O41" s="21" t="s">
        <v>30</v>
      </c>
      <c r="P41" s="21">
        <f t="shared" si="9"/>
        <v>5.8222087190520737E-2</v>
      </c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</row>
    <row r="42" spans="1:158" s="22" customFormat="1" x14ac:dyDescent="0.35">
      <c r="A42" s="20" t="s">
        <v>9</v>
      </c>
      <c r="B42" s="44">
        <v>1</v>
      </c>
      <c r="C42" s="21" t="s">
        <v>30</v>
      </c>
      <c r="D42" s="21">
        <f t="shared" si="5"/>
        <v>1.073610896594331</v>
      </c>
      <c r="E42" s="21" t="s">
        <v>30</v>
      </c>
      <c r="F42" s="21">
        <f t="shared" si="6"/>
        <v>0.39762640494180379</v>
      </c>
      <c r="G42" s="21" t="s">
        <v>30</v>
      </c>
      <c r="H42" s="21" t="s">
        <v>30</v>
      </c>
      <c r="I42" s="21" t="s">
        <v>30</v>
      </c>
      <c r="J42" s="21">
        <f t="shared" si="7"/>
        <v>0.14045486137925697</v>
      </c>
      <c r="K42" s="21" t="s">
        <v>30</v>
      </c>
      <c r="L42" s="21" t="s">
        <v>30</v>
      </c>
      <c r="M42" s="21" t="s">
        <v>30</v>
      </c>
      <c r="N42" s="21">
        <f t="shared" si="8"/>
        <v>0.32515669894375177</v>
      </c>
      <c r="O42" s="21" t="s">
        <v>30</v>
      </c>
      <c r="P42" s="21">
        <f t="shared" si="9"/>
        <v>0.1641686550743687</v>
      </c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</row>
    <row r="43" spans="1:158" s="22" customFormat="1" x14ac:dyDescent="0.35">
      <c r="A43" s="20" t="s">
        <v>10</v>
      </c>
      <c r="B43" s="44">
        <v>1</v>
      </c>
      <c r="C43" s="21" t="s">
        <v>30</v>
      </c>
      <c r="D43" s="21">
        <f t="shared" si="5"/>
        <v>0.42096989056322665</v>
      </c>
      <c r="E43" s="21" t="s">
        <v>30</v>
      </c>
      <c r="F43" s="21">
        <f t="shared" si="6"/>
        <v>0.12806105676155924</v>
      </c>
      <c r="G43" s="21" t="s">
        <v>30</v>
      </c>
      <c r="H43" s="21" t="s">
        <v>30</v>
      </c>
      <c r="I43" s="21" t="s">
        <v>30</v>
      </c>
      <c r="J43" s="21">
        <f t="shared" si="7"/>
        <v>7.6544863347275491E-2</v>
      </c>
      <c r="K43" s="21" t="s">
        <v>30</v>
      </c>
      <c r="L43" s="21" t="s">
        <v>30</v>
      </c>
      <c r="M43" s="21" t="s">
        <v>30</v>
      </c>
      <c r="N43" s="21">
        <f t="shared" si="8"/>
        <v>0.62828948096921966</v>
      </c>
      <c r="O43" s="21" t="s">
        <v>30</v>
      </c>
      <c r="P43" s="21">
        <f t="shared" si="9"/>
        <v>6.3795278428545626E-2</v>
      </c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</row>
    <row r="44" spans="1:158" s="25" customFormat="1" x14ac:dyDescent="0.35">
      <c r="A44" s="23" t="s">
        <v>11</v>
      </c>
      <c r="B44" s="45">
        <v>2</v>
      </c>
      <c r="C44" s="24" t="s">
        <v>30</v>
      </c>
      <c r="D44" s="24">
        <f t="shared" si="5"/>
        <v>0.38673290408525685</v>
      </c>
      <c r="E44" s="24" t="s">
        <v>30</v>
      </c>
      <c r="F44" s="24">
        <f t="shared" si="6"/>
        <v>0.23290981149670245</v>
      </c>
      <c r="G44" s="24" t="s">
        <v>30</v>
      </c>
      <c r="H44" s="24" t="s">
        <v>30</v>
      </c>
      <c r="I44" s="24" t="s">
        <v>30</v>
      </c>
      <c r="J44" s="24">
        <f t="shared" si="7"/>
        <v>0.17853963143872079</v>
      </c>
      <c r="K44" s="24" t="s">
        <v>30</v>
      </c>
      <c r="L44" s="24" t="s">
        <v>30</v>
      </c>
      <c r="M44" s="24" t="s">
        <v>30</v>
      </c>
      <c r="N44" s="24">
        <f>(N31/342.2965)</f>
        <v>1.394124126571286</v>
      </c>
      <c r="O44" s="24" t="s">
        <v>30</v>
      </c>
      <c r="P44" s="24">
        <f t="shared" si="9"/>
        <v>0.16552188330893525</v>
      </c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</row>
    <row r="45" spans="1:158" s="25" customFormat="1" x14ac:dyDescent="0.35">
      <c r="A45" s="23" t="s">
        <v>12</v>
      </c>
      <c r="B45" s="45">
        <v>2</v>
      </c>
      <c r="C45" s="24" t="s">
        <v>30</v>
      </c>
      <c r="D45" s="24">
        <f t="shared" si="5"/>
        <v>0.47934664136928762</v>
      </c>
      <c r="E45" s="24" t="s">
        <v>30</v>
      </c>
      <c r="F45" s="24">
        <f t="shared" si="6"/>
        <v>0.19028962777713843</v>
      </c>
      <c r="G45" s="24" t="s">
        <v>30</v>
      </c>
      <c r="H45" s="24" t="s">
        <v>30</v>
      </c>
      <c r="I45" s="24" t="s">
        <v>30</v>
      </c>
      <c r="J45" s="24">
        <f t="shared" si="7"/>
        <v>0.20618036492814454</v>
      </c>
      <c r="K45" s="24" t="s">
        <v>30</v>
      </c>
      <c r="L45" s="24" t="s">
        <v>30</v>
      </c>
      <c r="M45" s="24" t="s">
        <v>30</v>
      </c>
      <c r="N45" s="24">
        <f>(N32/342.2965)</f>
        <v>1.8951273371052699</v>
      </c>
      <c r="O45" s="24" t="s">
        <v>30</v>
      </c>
      <c r="P45" s="24">
        <f t="shared" si="9"/>
        <v>0.18865951662533967</v>
      </c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</row>
    <row r="46" spans="1:158" s="25" customFormat="1" x14ac:dyDescent="0.35">
      <c r="A46" s="23" t="s">
        <v>13</v>
      </c>
      <c r="B46" s="45">
        <v>2</v>
      </c>
      <c r="C46" s="24" t="s">
        <v>30</v>
      </c>
      <c r="D46" s="24">
        <f t="shared" si="5"/>
        <v>1.0185390763765534</v>
      </c>
      <c r="E46" s="24" t="s">
        <v>30</v>
      </c>
      <c r="F46" s="24">
        <f t="shared" si="6"/>
        <v>0.35043702864924442</v>
      </c>
      <c r="G46" s="24" t="s">
        <v>30</v>
      </c>
      <c r="H46" s="24" t="s">
        <v>30</v>
      </c>
      <c r="I46" s="24" t="s">
        <v>30</v>
      </c>
      <c r="J46" s="24">
        <f t="shared" si="7"/>
        <v>0.16799881586737703</v>
      </c>
      <c r="K46" s="24" t="s">
        <v>30</v>
      </c>
      <c r="L46" s="24" t="s">
        <v>30</v>
      </c>
      <c r="M46" s="24" t="s">
        <v>30</v>
      </c>
      <c r="N46" s="24">
        <f t="shared" si="8"/>
        <v>2.8747981160582499</v>
      </c>
      <c r="O46" s="24" t="s">
        <v>30</v>
      </c>
      <c r="P46" s="24">
        <f t="shared" si="9"/>
        <v>0.13867893526125522</v>
      </c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</row>
    <row r="47" spans="1:158" x14ac:dyDescent="0.3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</row>
    <row r="48" spans="1:158" x14ac:dyDescent="0.3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</row>
    <row r="49" spans="4:158" x14ac:dyDescent="0.3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60"/>
      <c r="R49" s="59"/>
      <c r="S49" s="59"/>
      <c r="T49" s="59"/>
      <c r="U49" s="59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</row>
    <row r="50" spans="4:158" x14ac:dyDescent="0.3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61"/>
      <c r="R50" s="60"/>
      <c r="S50" s="60"/>
      <c r="T50" s="60"/>
      <c r="U50" s="6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</row>
    <row r="51" spans="4:158" x14ac:dyDescent="0.3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1.394124126571286</v>
      </c>
      <c r="P51" s="1"/>
      <c r="Q51" s="61"/>
      <c r="R51" s="60"/>
      <c r="S51" s="60"/>
      <c r="T51" s="60"/>
      <c r="U51" s="60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</row>
    <row r="52" spans="4:158" x14ac:dyDescent="0.3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</row>
    <row r="53" spans="4:158" x14ac:dyDescent="0.3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</row>
    <row r="54" spans="4:158" x14ac:dyDescent="0.3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</row>
    <row r="55" spans="4:158" x14ac:dyDescent="0.3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</row>
    <row r="56" spans="4:158" x14ac:dyDescent="0.3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</row>
    <row r="57" spans="4:158" x14ac:dyDescent="0.3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</row>
    <row r="58" spans="4:15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</row>
    <row r="59" spans="4:158" x14ac:dyDescent="0.3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</row>
    <row r="60" spans="4:158" x14ac:dyDescent="0.3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</row>
    <row r="61" spans="4:158" x14ac:dyDescent="0.3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</row>
    <row r="62" spans="4:158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</row>
    <row r="63" spans="4:158" x14ac:dyDescent="0.3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</row>
    <row r="64" spans="4:158" x14ac:dyDescent="0.3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</row>
    <row r="65" spans="4:158" x14ac:dyDescent="0.3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</row>
    <row r="66" spans="4:158" x14ac:dyDescent="0.3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</row>
    <row r="67" spans="4:158" x14ac:dyDescent="0.3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</row>
    <row r="68" spans="4:158" x14ac:dyDescent="0.3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</row>
    <row r="69" spans="4:158" x14ac:dyDescent="0.3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</row>
    <row r="70" spans="4:158" x14ac:dyDescent="0.3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</row>
    <row r="71" spans="4:158" x14ac:dyDescent="0.3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</row>
    <row r="72" spans="4:158" x14ac:dyDescent="0.3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</row>
    <row r="73" spans="4:158" x14ac:dyDescent="0.3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</row>
    <row r="74" spans="4:158" x14ac:dyDescent="0.3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</row>
    <row r="75" spans="4:158" x14ac:dyDescent="0.3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</row>
    <row r="76" spans="4:158" x14ac:dyDescent="0.3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</row>
    <row r="77" spans="4:158" x14ac:dyDescent="0.3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</row>
    <row r="78" spans="4:158" x14ac:dyDescent="0.3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</row>
    <row r="79" spans="4:158" x14ac:dyDescent="0.3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</row>
    <row r="80" spans="4:158" x14ac:dyDescent="0.3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</row>
    <row r="81" spans="4:158" x14ac:dyDescent="0.3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</row>
    <row r="82" spans="4:158" x14ac:dyDescent="0.3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</row>
    <row r="83" spans="4:158" x14ac:dyDescent="0.3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</row>
    <row r="84" spans="4:158" x14ac:dyDescent="0.3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</row>
    <row r="85" spans="4:158" x14ac:dyDescent="0.3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</row>
    <row r="86" spans="4:158" x14ac:dyDescent="0.3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</row>
    <row r="87" spans="4:158" x14ac:dyDescent="0.3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</row>
    <row r="88" spans="4:158" x14ac:dyDescent="0.3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</row>
    <row r="89" spans="4:158" x14ac:dyDescent="0.3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</row>
    <row r="90" spans="4:158" x14ac:dyDescent="0.3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</row>
    <row r="91" spans="4:158" x14ac:dyDescent="0.3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</row>
    <row r="92" spans="4:158" x14ac:dyDescent="0.3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</row>
    <row r="93" spans="4:158" x14ac:dyDescent="0.3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</row>
    <row r="94" spans="4:158" x14ac:dyDescent="0.3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</row>
    <row r="95" spans="4:158" x14ac:dyDescent="0.3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</row>
    <row r="96" spans="4:158" x14ac:dyDescent="0.3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</row>
    <row r="97" spans="4:158" x14ac:dyDescent="0.3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</row>
    <row r="98" spans="4:158" x14ac:dyDescent="0.3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</row>
    <row r="99" spans="4:158" x14ac:dyDescent="0.3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</row>
    <row r="100" spans="4:158" x14ac:dyDescent="0.3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</row>
    <row r="101" spans="4:158" x14ac:dyDescent="0.3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</row>
    <row r="102" spans="4:158" x14ac:dyDescent="0.3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</row>
    <row r="103" spans="4:158" x14ac:dyDescent="0.3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</row>
    <row r="104" spans="4:158" x14ac:dyDescent="0.3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</row>
    <row r="105" spans="4:158" x14ac:dyDescent="0.3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</row>
    <row r="106" spans="4:158" x14ac:dyDescent="0.3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</row>
    <row r="107" spans="4:158" x14ac:dyDescent="0.3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</row>
    <row r="108" spans="4:158" x14ac:dyDescent="0.3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</row>
    <row r="109" spans="4:158" x14ac:dyDescent="0.3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</row>
    <row r="110" spans="4:158" x14ac:dyDescent="0.3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</row>
    <row r="111" spans="4:158" x14ac:dyDescent="0.3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</row>
    <row r="112" spans="4:158" x14ac:dyDescent="0.3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</row>
    <row r="113" spans="4:158" x14ac:dyDescent="0.3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</row>
    <row r="114" spans="4:158" x14ac:dyDescent="0.3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</row>
    <row r="115" spans="4:158" x14ac:dyDescent="0.3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</row>
    <row r="116" spans="4:158" x14ac:dyDescent="0.3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</row>
    <row r="117" spans="4:158" x14ac:dyDescent="0.3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</row>
    <row r="118" spans="4:158" x14ac:dyDescent="0.3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</row>
    <row r="119" spans="4:158" x14ac:dyDescent="0.3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</row>
    <row r="120" spans="4:158" x14ac:dyDescent="0.3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</row>
    <row r="121" spans="4:158" x14ac:dyDescent="0.3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</row>
    <row r="122" spans="4:158" x14ac:dyDescent="0.3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</row>
    <row r="123" spans="4:158" x14ac:dyDescent="0.3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</row>
    <row r="124" spans="4:158" x14ac:dyDescent="0.3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</row>
    <row r="125" spans="4:158" x14ac:dyDescent="0.3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</row>
    <row r="126" spans="4:158" x14ac:dyDescent="0.3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</row>
    <row r="127" spans="4:158" x14ac:dyDescent="0.3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</row>
    <row r="128" spans="4:158" x14ac:dyDescent="0.3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</row>
    <row r="129" spans="4:158" x14ac:dyDescent="0.3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</row>
    <row r="130" spans="4:158" x14ac:dyDescent="0.3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</row>
    <row r="131" spans="4:158" x14ac:dyDescent="0.3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</row>
    <row r="132" spans="4:158" x14ac:dyDescent="0.3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</row>
    <row r="133" spans="4:158" x14ac:dyDescent="0.3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</row>
    <row r="134" spans="4:158" x14ac:dyDescent="0.3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</row>
    <row r="135" spans="4:158" x14ac:dyDescent="0.3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</row>
    <row r="136" spans="4:158" x14ac:dyDescent="0.3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</row>
    <row r="137" spans="4:158" x14ac:dyDescent="0.3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</row>
    <row r="138" spans="4:158" x14ac:dyDescent="0.3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</row>
    <row r="139" spans="4:158" x14ac:dyDescent="0.3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</row>
    <row r="140" spans="4:158" x14ac:dyDescent="0.3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</row>
    <row r="141" spans="4:158" x14ac:dyDescent="0.3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</row>
    <row r="142" spans="4:158" x14ac:dyDescent="0.3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</row>
    <row r="143" spans="4:158" x14ac:dyDescent="0.3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</row>
    <row r="144" spans="4:158" x14ac:dyDescent="0.3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</row>
    <row r="145" spans="4:158" x14ac:dyDescent="0.3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</row>
    <row r="146" spans="4:158" x14ac:dyDescent="0.3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</row>
    <row r="147" spans="4:158" x14ac:dyDescent="0.3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</row>
    <row r="148" spans="4:158" x14ac:dyDescent="0.3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</row>
    <row r="149" spans="4:158" x14ac:dyDescent="0.3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</row>
    <row r="150" spans="4:158" x14ac:dyDescent="0.3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</row>
    <row r="151" spans="4:158" x14ac:dyDescent="0.3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</row>
    <row r="152" spans="4:158" x14ac:dyDescent="0.3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</row>
    <row r="153" spans="4:158" x14ac:dyDescent="0.3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</row>
    <row r="154" spans="4:158" x14ac:dyDescent="0.3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</row>
    <row r="155" spans="4:158" x14ac:dyDescent="0.3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</row>
    <row r="156" spans="4:158" x14ac:dyDescent="0.3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</row>
    <row r="157" spans="4:158" x14ac:dyDescent="0.3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</row>
    <row r="158" spans="4:158" x14ac:dyDescent="0.3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</row>
    <row r="159" spans="4:158" x14ac:dyDescent="0.3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</row>
    <row r="160" spans="4:158" x14ac:dyDescent="0.3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</row>
    <row r="161" spans="4:158" x14ac:dyDescent="0.3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</row>
    <row r="162" spans="4:158" x14ac:dyDescent="0.3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</row>
    <row r="163" spans="4:158" x14ac:dyDescent="0.3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</row>
    <row r="164" spans="4:158" x14ac:dyDescent="0.3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</row>
    <row r="165" spans="4:158" x14ac:dyDescent="0.3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</row>
    <row r="166" spans="4:158" x14ac:dyDescent="0.3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</row>
    <row r="167" spans="4:158" x14ac:dyDescent="0.3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</row>
    <row r="168" spans="4:158" x14ac:dyDescent="0.3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</row>
    <row r="169" spans="4:158" x14ac:dyDescent="0.3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</row>
    <row r="170" spans="4:158" x14ac:dyDescent="0.3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</row>
    <row r="171" spans="4:158" x14ac:dyDescent="0.3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</row>
    <row r="172" spans="4:158" x14ac:dyDescent="0.3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</row>
    <row r="173" spans="4:158" x14ac:dyDescent="0.3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</row>
    <row r="174" spans="4:158" x14ac:dyDescent="0.3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</row>
    <row r="175" spans="4:158" x14ac:dyDescent="0.3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</row>
    <row r="176" spans="4:158" x14ac:dyDescent="0.3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</row>
    <row r="177" spans="4:158" x14ac:dyDescent="0.3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</row>
    <row r="178" spans="4:158" x14ac:dyDescent="0.3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</row>
    <row r="179" spans="4:158" x14ac:dyDescent="0.3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</row>
    <row r="180" spans="4:158" x14ac:dyDescent="0.3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</row>
    <row r="181" spans="4:158" x14ac:dyDescent="0.3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</row>
    <row r="182" spans="4:158" x14ac:dyDescent="0.3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</row>
    <row r="183" spans="4:158" x14ac:dyDescent="0.3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</row>
    <row r="184" spans="4:158" x14ac:dyDescent="0.3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</row>
    <row r="185" spans="4:158" x14ac:dyDescent="0.3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</row>
    <row r="186" spans="4:158" x14ac:dyDescent="0.3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</row>
    <row r="187" spans="4:158" x14ac:dyDescent="0.3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</row>
    <row r="188" spans="4:158" x14ac:dyDescent="0.3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</row>
  </sheetData>
  <mergeCells count="2">
    <mergeCell ref="B35:P35"/>
    <mergeCell ref="B22:P22"/>
  </mergeCells>
  <pageMargins left="0.7" right="0.7" top="0.75" bottom="0.75" header="0.3" footer="0.3"/>
  <pageSetup orientation="portrait" r:id="rId1"/>
  <rowBreaks count="5" manualBreakCount="5">
    <brk id="43" max="16383" man="1"/>
    <brk id="87" max="16383" man="1"/>
    <brk id="131" max="16383" man="1"/>
    <brk id="175" max="16383" man="1"/>
    <brk id="219" max="16383" man="1"/>
  </rowBreaks>
  <colBreaks count="19" manualBreakCount="19">
    <brk id="6" max="1048575" man="1"/>
    <brk id="12" max="1048575" man="1"/>
    <brk id="21" max="1048575" man="1"/>
    <brk id="30" max="1048575" man="1"/>
    <brk id="39" max="1048575" man="1"/>
    <brk id="48" max="1048575" man="1"/>
    <brk id="57" max="1048575" man="1"/>
    <brk id="66" max="1048575" man="1"/>
    <brk id="75" max="1048575" man="1"/>
    <brk id="84" max="1048575" man="1"/>
    <brk id="93" max="1048575" man="1"/>
    <brk id="102" max="1048575" man="1"/>
    <brk id="111" max="1048575" man="1"/>
    <brk id="120" max="1048575" man="1"/>
    <brk id="129" max="1048575" man="1"/>
    <brk id="138" max="1048575" man="1"/>
    <brk id="147" max="1048575" man="1"/>
    <brk id="156" max="1048575" man="1"/>
    <brk id="16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163A-2722-44C6-B2AC-2BFCA06C7AF6}">
  <dimension ref="C1:O32"/>
  <sheetViews>
    <sheetView workbookViewId="0">
      <selection activeCell="G21" sqref="G21"/>
    </sheetView>
  </sheetViews>
  <sheetFormatPr defaultRowHeight="14.5" x14ac:dyDescent="0.35"/>
  <cols>
    <col min="3" max="3" width="26.453125" customWidth="1"/>
  </cols>
  <sheetData>
    <row r="1" spans="3:15" x14ac:dyDescent="0.35">
      <c r="D1" s="56" t="s">
        <v>33</v>
      </c>
      <c r="E1" s="57"/>
      <c r="F1" s="57"/>
      <c r="G1" s="58"/>
      <c r="H1" s="56" t="s">
        <v>34</v>
      </c>
      <c r="I1" s="57"/>
      <c r="J1" s="57"/>
      <c r="K1" s="58"/>
      <c r="L1" s="56" t="s">
        <v>35</v>
      </c>
      <c r="M1" s="57"/>
      <c r="N1" s="57"/>
      <c r="O1" s="58"/>
    </row>
    <row r="2" spans="3:15" x14ac:dyDescent="0.35">
      <c r="C2" s="26"/>
      <c r="D2" s="27">
        <v>1</v>
      </c>
      <c r="E2" s="28">
        <v>2</v>
      </c>
      <c r="F2" s="28">
        <v>3</v>
      </c>
      <c r="G2" s="29" t="s">
        <v>36</v>
      </c>
      <c r="H2" s="27">
        <v>1</v>
      </c>
      <c r="I2" s="28">
        <v>2</v>
      </c>
      <c r="J2" s="28">
        <v>3</v>
      </c>
      <c r="K2" s="29" t="s">
        <v>36</v>
      </c>
      <c r="L2" s="27">
        <v>1</v>
      </c>
      <c r="M2" s="28">
        <v>2</v>
      </c>
      <c r="N2" s="28">
        <v>3</v>
      </c>
      <c r="O2" s="29" t="s">
        <v>36</v>
      </c>
    </row>
    <row r="3" spans="3:15" x14ac:dyDescent="0.35">
      <c r="C3" s="26" t="s">
        <v>37</v>
      </c>
      <c r="D3" s="30">
        <v>3</v>
      </c>
      <c r="E3" s="31">
        <v>3</v>
      </c>
      <c r="F3" s="31">
        <v>3</v>
      </c>
      <c r="G3" s="32">
        <v>3</v>
      </c>
      <c r="H3" s="30">
        <v>3</v>
      </c>
      <c r="I3" s="31">
        <v>3</v>
      </c>
      <c r="J3" s="31">
        <v>3</v>
      </c>
      <c r="K3" s="32">
        <v>3</v>
      </c>
      <c r="L3" s="30">
        <v>3</v>
      </c>
      <c r="M3" s="31">
        <v>3</v>
      </c>
      <c r="N3" s="31">
        <v>3</v>
      </c>
      <c r="O3" s="32">
        <v>3</v>
      </c>
    </row>
    <row r="4" spans="3:15" x14ac:dyDescent="0.35">
      <c r="C4" s="26" t="s">
        <v>38</v>
      </c>
      <c r="D4" s="30">
        <f>2.9-1.403</f>
        <v>1.4969999999999999</v>
      </c>
      <c r="E4" s="31">
        <f>2.887-1.176</f>
        <v>1.7110000000000001</v>
      </c>
      <c r="F4" s="31">
        <f>3.147-1.444</f>
        <v>1.7029999999999998</v>
      </c>
      <c r="G4" s="32">
        <f>2.957-1.146</f>
        <v>1.8109999999999999</v>
      </c>
      <c r="H4" s="30">
        <f>3.171-2.436</f>
        <v>0.73499999999999988</v>
      </c>
      <c r="I4" s="31">
        <f>3.66-2.452</f>
        <v>1.2080000000000002</v>
      </c>
      <c r="J4" s="31">
        <f>3.475-2.42</f>
        <v>1.0550000000000002</v>
      </c>
      <c r="K4" s="32">
        <f>3.464-2.444</f>
        <v>1.02</v>
      </c>
      <c r="L4" s="30">
        <f>3.747-2.436</f>
        <v>1.3109999999999999</v>
      </c>
      <c r="M4" s="31">
        <f>3.609-2.452</f>
        <v>1.157</v>
      </c>
      <c r="N4" s="31">
        <f>3.464-2.42</f>
        <v>1.044</v>
      </c>
      <c r="O4" s="32">
        <f>3.725-2.444</f>
        <v>1.2810000000000001</v>
      </c>
    </row>
    <row r="5" spans="3:15" x14ac:dyDescent="0.35">
      <c r="C5" s="26" t="s">
        <v>39</v>
      </c>
      <c r="D5" s="30">
        <f>4.206-1.403</f>
        <v>2.8030000000000004</v>
      </c>
      <c r="E5" s="31">
        <f>4.901-1.176</f>
        <v>3.7249999999999996</v>
      </c>
      <c r="F5" s="31">
        <f>4.895-1.444</f>
        <v>3.4509999999999996</v>
      </c>
      <c r="G5" s="32">
        <f>4.182-1.146</f>
        <v>3.0360000000000005</v>
      </c>
      <c r="H5" s="30">
        <f>3.901-2.436</f>
        <v>1.4649999999999999</v>
      </c>
      <c r="I5" s="31">
        <f>4.819-2.452</f>
        <v>2.367</v>
      </c>
      <c r="J5" s="31">
        <f>4.658-2.42</f>
        <v>2.2380000000000004</v>
      </c>
      <c r="K5" s="32">
        <f>4.692-2.444</f>
        <v>2.2480000000000002</v>
      </c>
      <c r="L5" s="30">
        <f>5.318-2.436</f>
        <v>2.8819999999999997</v>
      </c>
      <c r="M5" s="31">
        <f>4.875-2.452</f>
        <v>2.423</v>
      </c>
      <c r="N5" s="31">
        <f>4.618-2.42</f>
        <v>2.1980000000000004</v>
      </c>
      <c r="O5" s="32">
        <f>5.04-2.444</f>
        <v>2.5960000000000001</v>
      </c>
    </row>
    <row r="6" spans="3:15" x14ac:dyDescent="0.35">
      <c r="C6" s="26" t="s">
        <v>40</v>
      </c>
      <c r="D6" s="30">
        <f>D5-D4</f>
        <v>1.3060000000000005</v>
      </c>
      <c r="E6" s="30">
        <f t="shared" ref="E6:O6" si="0">E5-E4</f>
        <v>2.0139999999999993</v>
      </c>
      <c r="F6" s="30">
        <f t="shared" si="0"/>
        <v>1.7479999999999998</v>
      </c>
      <c r="G6" s="30">
        <f t="shared" si="0"/>
        <v>1.2250000000000005</v>
      </c>
      <c r="H6" s="30">
        <f t="shared" si="0"/>
        <v>0.73</v>
      </c>
      <c r="I6" s="30">
        <f t="shared" si="0"/>
        <v>1.1589999999999998</v>
      </c>
      <c r="J6" s="30">
        <f t="shared" si="0"/>
        <v>1.1830000000000003</v>
      </c>
      <c r="K6" s="30">
        <f t="shared" si="0"/>
        <v>1.2280000000000002</v>
      </c>
      <c r="L6" s="30">
        <f t="shared" si="0"/>
        <v>1.5709999999999997</v>
      </c>
      <c r="M6" s="30">
        <f t="shared" si="0"/>
        <v>1.266</v>
      </c>
      <c r="N6" s="30">
        <f t="shared" si="0"/>
        <v>1.1540000000000004</v>
      </c>
      <c r="O6" s="30">
        <f t="shared" si="0"/>
        <v>1.3149999999999999</v>
      </c>
    </row>
    <row r="7" spans="3:15" x14ac:dyDescent="0.35">
      <c r="C7" s="26"/>
      <c r="D7" s="30"/>
      <c r="E7" s="31"/>
      <c r="F7" s="31"/>
      <c r="G7" s="32"/>
      <c r="H7" s="30"/>
      <c r="I7" s="31"/>
      <c r="J7" s="31"/>
      <c r="K7" s="32"/>
      <c r="L7" s="30"/>
      <c r="M7" s="31"/>
      <c r="N7" s="31"/>
      <c r="O7" s="32"/>
    </row>
    <row r="8" spans="3:15" x14ac:dyDescent="0.35">
      <c r="C8" s="26" t="s">
        <v>41</v>
      </c>
      <c r="D8" s="30"/>
      <c r="E8" s="31"/>
      <c r="F8" s="31"/>
      <c r="G8" s="32"/>
      <c r="H8" s="30"/>
      <c r="I8" s="31"/>
      <c r="J8" s="31"/>
      <c r="K8" s="32"/>
      <c r="L8" s="30"/>
      <c r="M8" s="31"/>
      <c r="N8" s="31"/>
      <c r="O8" s="32"/>
    </row>
    <row r="9" spans="3:15" ht="15" thickBot="1" x14ac:dyDescent="0.4">
      <c r="C9" s="26" t="s">
        <v>51</v>
      </c>
      <c r="D9" s="33">
        <v>0.252</v>
      </c>
      <c r="E9" s="34">
        <v>0.223</v>
      </c>
      <c r="F9" s="34">
        <v>0.24199999999999999</v>
      </c>
      <c r="G9" s="35">
        <v>3.7999999999999999E-2</v>
      </c>
      <c r="H9" s="33">
        <v>0.247</v>
      </c>
      <c r="I9" s="34">
        <v>0.27700000000000002</v>
      </c>
      <c r="J9" s="34">
        <v>0.26900000000000002</v>
      </c>
      <c r="K9" s="35">
        <v>3.9E-2</v>
      </c>
      <c r="L9" s="33">
        <v>0.25600000000000001</v>
      </c>
      <c r="M9" s="34">
        <v>0.27800000000000002</v>
      </c>
      <c r="N9" s="34">
        <v>0.26400000000000001</v>
      </c>
      <c r="O9" s="35">
        <v>3.9E-2</v>
      </c>
    </row>
    <row r="10" spans="3:15" ht="15" thickBot="1" x14ac:dyDescent="0.4">
      <c r="C10" s="36" t="s">
        <v>50</v>
      </c>
      <c r="D10" s="37">
        <f>$D$17/($D$17-D9)</f>
        <v>6.2499999999999956</v>
      </c>
      <c r="E10" s="37">
        <f>$D$17/($D$17-E9)</f>
        <v>3.8961038961038947</v>
      </c>
      <c r="F10" s="37">
        <f>$D$17/($D$17-F9)</f>
        <v>5.1724137931034448</v>
      </c>
      <c r="G10" s="37"/>
      <c r="H10" s="37">
        <f>$D$17/($D$17-H9)</f>
        <v>5.6603773584905621</v>
      </c>
      <c r="I10" s="37">
        <f>$D$17/($D$17-I9)</f>
        <v>13.043478260869556</v>
      </c>
      <c r="J10" s="37">
        <f>$D$17/($D$17-J9)</f>
        <v>9.6774193548387029</v>
      </c>
      <c r="K10" s="37"/>
      <c r="L10" s="37">
        <f>$D$17/($D$17-L9)</f>
        <v>6.818181818181813</v>
      </c>
      <c r="M10" s="37">
        <f>$D$17/($D$17-M9)</f>
        <v>13.636363636363626</v>
      </c>
      <c r="N10" s="37">
        <f>$D$17/($D$17-N9)</f>
        <v>8.3333333333333268</v>
      </c>
      <c r="O10" s="37"/>
    </row>
    <row r="13" spans="3:15" x14ac:dyDescent="0.35">
      <c r="C13" t="s">
        <v>44</v>
      </c>
    </row>
    <row r="15" spans="3:15" x14ac:dyDescent="0.35">
      <c r="C15" t="s">
        <v>42</v>
      </c>
      <c r="D15">
        <v>3.4000000000000002E-2</v>
      </c>
    </row>
    <row r="16" spans="3:15" x14ac:dyDescent="0.35">
      <c r="C16" t="s">
        <v>43</v>
      </c>
      <c r="D16">
        <v>0.33400000000000002</v>
      </c>
    </row>
    <row r="17" spans="3:15" x14ac:dyDescent="0.35">
      <c r="C17" t="s">
        <v>49</v>
      </c>
      <c r="D17">
        <f>D16-D15</f>
        <v>0.30000000000000004</v>
      </c>
    </row>
    <row r="23" spans="3:15" x14ac:dyDescent="0.35">
      <c r="C23" t="s">
        <v>45</v>
      </c>
    </row>
    <row r="24" spans="3:15" x14ac:dyDescent="0.35">
      <c r="C24" t="s">
        <v>46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3:15" x14ac:dyDescent="0.35">
      <c r="C25" s="49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3:15" x14ac:dyDescent="0.35"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3:15" x14ac:dyDescent="0.35"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</row>
    <row r="28" spans="3:15" x14ac:dyDescent="0.35"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</row>
    <row r="29" spans="3:15" x14ac:dyDescent="0.35">
      <c r="C29" s="49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</row>
    <row r="30" spans="3:15" x14ac:dyDescent="0.35">
      <c r="C30" s="49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</row>
    <row r="31" spans="3:15" x14ac:dyDescent="0.35">
      <c r="C31" s="49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</row>
    <row r="32" spans="3:15" x14ac:dyDescent="0.35">
      <c r="C32" s="49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GC-MS</vt:lpstr>
      <vt:lpstr>dilution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TSQ9000</dc:creator>
  <cp:lastModifiedBy>יותם זית</cp:lastModifiedBy>
  <dcterms:created xsi:type="dcterms:W3CDTF">2025-03-05T15:38:02Z</dcterms:created>
  <dcterms:modified xsi:type="dcterms:W3CDTF">2025-06-24T15:17:36Z</dcterms:modified>
</cp:coreProperties>
</file>