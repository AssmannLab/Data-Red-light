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DF24FFFB-1FE8-4B98-8754-15E4040B8CF8}" xr6:coauthVersionLast="47" xr6:coauthVersionMax="47" xr10:uidLastSave="{00000000-0000-0000-0000-000000000000}"/>
  <bookViews>
    <workbookView xWindow="-80" yWindow="-80" windowWidth="19360" windowHeight="10240" tabRatio="868" activeTab="7" xr2:uid="{00000000-000D-0000-FFFF-FFFF00000000}"/>
  </bookViews>
  <sheets>
    <sheet name="At_all" sheetId="1" r:id="rId1"/>
    <sheet name="At_fold change" sheetId="2" r:id="rId2"/>
    <sheet name="At_FC_p value" sheetId="3" r:id="rId3"/>
    <sheet name="Vf_all" sheetId="4" r:id="rId4"/>
    <sheet name="Vf_fold change" sheetId="5" r:id="rId5"/>
    <sheet name="Vf_FC_p value" sheetId="6" r:id="rId6"/>
    <sheet name="Overlap_fold change" sheetId="7" r:id="rId7"/>
    <sheet name="Overlap_FC_same tren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2" i="4" l="1"/>
  <c r="M112" i="4"/>
  <c r="N111" i="4"/>
  <c r="M111" i="4"/>
  <c r="N110" i="4"/>
  <c r="M110" i="4"/>
  <c r="N109" i="4"/>
  <c r="M109" i="4"/>
  <c r="N108" i="4"/>
  <c r="M108" i="4"/>
  <c r="N107" i="4"/>
  <c r="M107" i="4"/>
  <c r="N106" i="4"/>
  <c r="M106" i="4"/>
  <c r="N105" i="4"/>
  <c r="M105" i="4"/>
  <c r="N104" i="4"/>
  <c r="M104" i="4"/>
  <c r="N103" i="4"/>
  <c r="M103" i="4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</calcChain>
</file>

<file path=xl/sharedStrings.xml><?xml version="1.0" encoding="utf-8"?>
<sst xmlns="http://schemas.openxmlformats.org/spreadsheetml/2006/main" count="618" uniqueCount="145">
  <si>
    <t>AtD</t>
    <phoneticPr fontId="0"/>
  </si>
  <si>
    <t>AtRL</t>
    <phoneticPr fontId="0"/>
  </si>
  <si>
    <t>NAME</t>
  </si>
  <si>
    <t>GC0270_005_20170530_8</t>
  </si>
  <si>
    <t>GC0270_003_20170530_10</t>
  </si>
  <si>
    <t>GC0270_002_20170530_15</t>
  </si>
  <si>
    <t>GC0270_001_20170530_17</t>
  </si>
  <si>
    <t>GC0270_004_20170530_16</t>
  </si>
  <si>
    <t>GC0270_007_20170530_9</t>
  </si>
  <si>
    <t>GC0270_006_20170530_26</t>
  </si>
  <si>
    <t>GC0270_009_20170530_12</t>
  </si>
  <si>
    <t>GC0270_008_20170530_14</t>
  </si>
  <si>
    <t>GC0270_010_20170530_18</t>
  </si>
  <si>
    <t>Index</t>
  </si>
  <si>
    <t>ORDER</t>
  </si>
  <si>
    <t>Fold (RL/D)</t>
  </si>
  <si>
    <t>P value (t test)</t>
  </si>
  <si>
    <t>Dimethylglycine-TMS</t>
  </si>
  <si>
    <t>Glyoxylic acid-meto-TMS</t>
  </si>
  <si>
    <t>Lactic acid-2TMS</t>
  </si>
  <si>
    <t>Lactic acid-13C3-2TMS</t>
  </si>
  <si>
    <t>2-Hydroxyisobutyric acid-2TMS</t>
  </si>
  <si>
    <t>3-Aminoisobutyric acid-2TMS</t>
  </si>
  <si>
    <t>Valine-2TMS</t>
  </si>
  <si>
    <t>Methylmalonic acid-2TMS</t>
  </si>
  <si>
    <t>Urea-2TMS</t>
  </si>
  <si>
    <t>2-Aminoethanol-3TMS</t>
  </si>
  <si>
    <t>Leucine-2TMS</t>
  </si>
  <si>
    <t>Phosphoric acid-3TMS</t>
  </si>
  <si>
    <t>Isoleucine-2TMS</t>
  </si>
  <si>
    <t>Proline-2TMS</t>
  </si>
  <si>
    <t>Phenylacetic acid-TMS</t>
  </si>
  <si>
    <t>Glyceric acid-3TMS</t>
  </si>
  <si>
    <t>3-Hydroxypyruvic acid-meto-2TMS(2)</t>
  </si>
  <si>
    <t>Uracil-2TMS</t>
  </si>
  <si>
    <t>Serine-3TMS</t>
  </si>
  <si>
    <t>Fumaric acid-2TMS</t>
  </si>
  <si>
    <t>Acetylglycine-2TMS</t>
  </si>
  <si>
    <t>Threonine-3TMS</t>
  </si>
  <si>
    <t>Glutaric acid-2TMS</t>
  </si>
  <si>
    <t>3-Aminopropanoic acid-3TMS</t>
  </si>
  <si>
    <t>Erythrulose-meto-3TMS(1)</t>
  </si>
  <si>
    <t>Citramalic acid-3TMS</t>
  </si>
  <si>
    <t>Malic acid-3TMS</t>
  </si>
  <si>
    <t>N-Acetylserine-2TMS</t>
  </si>
  <si>
    <t>Aspartic acid-3TMS</t>
  </si>
  <si>
    <t>3-Aminoglutaric acid-2TMS</t>
  </si>
  <si>
    <t>4-Aminobutyric acid-3TMS</t>
  </si>
  <si>
    <t>Threonic acid-4TMS</t>
  </si>
  <si>
    <t>2-Ketoglutaric acid-meto-2TMS</t>
  </si>
  <si>
    <t>Glutamic acid-3TMS</t>
  </si>
  <si>
    <t>Cadaverine-3TMS</t>
  </si>
  <si>
    <t>5-Aminovaleric acid-3TMS</t>
  </si>
  <si>
    <t>Xylose-meto-4TMS(1)</t>
  </si>
  <si>
    <t>Ureidopropionic acid-3TMS</t>
  </si>
  <si>
    <t>Lyxose-meto-4TMS(2)</t>
  </si>
  <si>
    <t>Threo-b-hydroxyaspartic acid-4TMS</t>
  </si>
  <si>
    <t>2-Ketoadipic acid-meto-2TMS(2)</t>
  </si>
  <si>
    <t>N-Acetylaspartic acid-3TMS</t>
  </si>
  <si>
    <t>Asparagine-3TMS</t>
  </si>
  <si>
    <t>Ribonolactone-3TMS</t>
  </si>
  <si>
    <t>Arabitol-5TMS</t>
  </si>
  <si>
    <t>Ribitol-5TMS</t>
  </si>
  <si>
    <t>1,6-Anhydroglucose-3TMS</t>
  </si>
  <si>
    <t>Rhamnose-meto-4TMS(2)</t>
  </si>
  <si>
    <t>Fucose-meto-4TMS(1)</t>
  </si>
  <si>
    <t>2-Deoxy-glucose-4TMS(1)</t>
  </si>
  <si>
    <t>Dihydroxyacetone phosphate-meto-3TMS(1)</t>
  </si>
  <si>
    <t>Glycerol 3-phosphate-4TMS</t>
  </si>
  <si>
    <t>Glutamine-3TMS</t>
  </si>
  <si>
    <t>Shikimic acid-4TMS</t>
  </si>
  <si>
    <t>Citric acid-d4-4TMS</t>
  </si>
  <si>
    <t>Ornithine-d7-4TMS</t>
  </si>
  <si>
    <t>Isocitric acid-4TMS</t>
  </si>
  <si>
    <t>2-Aminopimelic acid-3TMS</t>
  </si>
  <si>
    <t>Citric acid-4TMS</t>
  </si>
  <si>
    <t>Ornithine-4TMS</t>
  </si>
  <si>
    <t>Arginine-3TMS</t>
  </si>
  <si>
    <t>Glycyl-Glycine-3TMS</t>
  </si>
  <si>
    <t>Psicose-meto-5TMS(1)</t>
  </si>
  <si>
    <t>Tagatose-meto-5TMS(2)</t>
  </si>
  <si>
    <t>Pyridoxal-meto-2TMS(1)</t>
  </si>
  <si>
    <t>Sorbose-meto-5TMS(2)</t>
  </si>
  <si>
    <t>Allose-meto-5TMS(1)</t>
  </si>
  <si>
    <t>Fructose-meto-5TMS(2)</t>
  </si>
  <si>
    <t>Galactose-meto-5TMS(1)</t>
  </si>
  <si>
    <t>Glucono-1,5-lactone-4TMS</t>
  </si>
  <si>
    <t>Glucose-meto-5TMS(1)</t>
  </si>
  <si>
    <t>Hippuric acid-TMS</t>
  </si>
  <si>
    <t>Mannose-meto-5TMS(2)</t>
  </si>
  <si>
    <t>Allantoin-4TMS</t>
  </si>
  <si>
    <t>Erythrose 4-phosphate-meto-4TMS(2)</t>
  </si>
  <si>
    <t>Mannitol-6TMS</t>
  </si>
  <si>
    <t>Sorbitol-6TMS</t>
  </si>
  <si>
    <t>Lysine-4TMS</t>
  </si>
  <si>
    <t>Tyramine-3TMS</t>
  </si>
  <si>
    <t>Galactosamine-5TMS(2)</t>
  </si>
  <si>
    <t>Tyrosine-3TMS</t>
  </si>
  <si>
    <t>Pyridoxamine-3TMS</t>
  </si>
  <si>
    <t>Gluconic acid-6TMS</t>
  </si>
  <si>
    <t>S-Benzyl-Cysteine-4TMS</t>
  </si>
  <si>
    <t>Inositol-6TMS(2)</t>
  </si>
  <si>
    <t>Dopamine-4TMS</t>
  </si>
  <si>
    <t>Ribulose 5-phosphate-meto-5TMS(2)</t>
  </si>
  <si>
    <t>Kynurenic acid-2TMS</t>
  </si>
  <si>
    <t>Uric acid-4TMS</t>
  </si>
  <si>
    <t>Metoprolol-TMS</t>
  </si>
  <si>
    <t>Kynurenine-2TMS</t>
  </si>
  <si>
    <t>Suberylglycine-2TMS</t>
  </si>
  <si>
    <t>Glucose 6-phosphate-meto-6TMS(1)</t>
  </si>
  <si>
    <t>Mannose 6-phosphate-meto-6TMS(2)</t>
  </si>
  <si>
    <t>Uridine-3TMS</t>
  </si>
  <si>
    <t>5-Methoxytryptamine-2TMS</t>
  </si>
  <si>
    <t>Melatonin-TMS</t>
  </si>
  <si>
    <t>Sucrose-8TMS</t>
  </si>
  <si>
    <t>N-Acetylneuraminic acid-6TMS</t>
  </si>
  <si>
    <t>Docosapentaenoic acid-TMS</t>
  </si>
  <si>
    <t>Adenosine-4TMS</t>
  </si>
  <si>
    <t>Batyl alcohol-2TMS</t>
  </si>
  <si>
    <t>Maltose-meto-8TMS(1)</t>
  </si>
  <si>
    <t>Trehalose-8TMS</t>
  </si>
  <si>
    <t>Cytidine-4TMS</t>
  </si>
  <si>
    <t>Lactitol-9TMS</t>
  </si>
  <si>
    <t>Monostearin-2TMS</t>
  </si>
  <si>
    <t>Maltitol-9TMS</t>
  </si>
  <si>
    <t>5'-Methylthioadenosine-2TMS</t>
  </si>
  <si>
    <t>Metabolite</t>
  </si>
  <si>
    <t>Sample</t>
  </si>
  <si>
    <t>Group</t>
  </si>
  <si>
    <t>VfD</t>
    <phoneticPr fontId="0"/>
  </si>
  <si>
    <t>VfRL</t>
    <phoneticPr fontId="0"/>
  </si>
  <si>
    <t>GC0270_015_20170530_19</t>
  </si>
  <si>
    <t>GC0270_014_20170530_7</t>
  </si>
  <si>
    <t>GC0270_013_20170530_22</t>
  </si>
  <si>
    <t>GC0270_011_20170530_25</t>
  </si>
  <si>
    <t>GC0270_012_20170530_28</t>
  </si>
  <si>
    <t>GC0270_018_20170530_21</t>
  </si>
  <si>
    <t>GC0270_019_20170530_23</t>
  </si>
  <si>
    <t>GC0270_017_20170530_24</t>
  </si>
  <si>
    <t>GC0270_020_20170530_29</t>
  </si>
  <si>
    <t>GC0270_016_20170530_11</t>
  </si>
  <si>
    <t>At</t>
  </si>
  <si>
    <t>Yellow highlighted</t>
  </si>
  <si>
    <t>Vf</t>
  </si>
  <si>
    <t>Not highlighted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</si>
</sst>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Fill="1" applyBorder="1"/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Fill="1" applyBorder="1"/>
    <xf numFmtId="0" fontId="1" fillId="0" borderId="0" xfId="0" applyFont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Border="1"/>
    <xf numFmtId="0" fontId="1" fillId="2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/>
    </xf>
  </cellXfs>
  <cellStyles count="1">
    <cellStyle name="Normal" xfId="0" builtinId="0"/>
  </cellStyles>
  <dxfs count="3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2"/>
  <sheetViews>
    <sheetView topLeftCell="E13" workbookViewId="0">
      <selection activeCell="C23" sqref="C23:N23"/>
    </sheetView>
  </sheetViews>
  <sheetFormatPr defaultColWidth="9.08984375" defaultRowHeight="14" x14ac:dyDescent="0.3"/>
  <cols>
    <col min="1" max="1" width="9.08984375" style="7"/>
    <col min="2" max="2" width="41.453125" style="7" customWidth="1"/>
    <col min="3" max="3" width="22.90625" style="7" bestFit="1" customWidth="1"/>
    <col min="4" max="7" width="23.90625" style="7" bestFit="1" customWidth="1"/>
    <col min="8" max="8" width="22.90625" style="7" bestFit="1" customWidth="1"/>
    <col min="9" max="12" width="23.90625" style="7" bestFit="1" customWidth="1"/>
    <col min="13" max="13" width="12" style="7" bestFit="1" customWidth="1"/>
    <col min="14" max="14" width="14" style="7" bestFit="1" customWidth="1"/>
    <col min="15" max="15" width="41.36328125" style="7" bestFit="1" customWidth="1"/>
    <col min="16" max="16384" width="9.08984375" style="7"/>
  </cols>
  <sheetData>
    <row r="1" spans="1:15" x14ac:dyDescent="0.3">
      <c r="B1" s="7" t="s">
        <v>128</v>
      </c>
      <c r="C1" s="8" t="s">
        <v>0</v>
      </c>
      <c r="D1" s="8" t="s">
        <v>0</v>
      </c>
      <c r="E1" s="8" t="s">
        <v>0</v>
      </c>
      <c r="F1" s="8" t="s">
        <v>0</v>
      </c>
      <c r="G1" s="8" t="s">
        <v>0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</row>
    <row r="2" spans="1:15" x14ac:dyDescent="0.3">
      <c r="B2" s="9" t="s">
        <v>127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</row>
    <row r="3" spans="1:15" x14ac:dyDescent="0.3">
      <c r="A3" s="7" t="s">
        <v>13</v>
      </c>
      <c r="B3" s="9" t="s">
        <v>126</v>
      </c>
      <c r="C3" s="9">
        <v>4</v>
      </c>
      <c r="D3" s="9">
        <v>6</v>
      </c>
      <c r="E3" s="9">
        <v>11</v>
      </c>
      <c r="F3" s="9">
        <v>13</v>
      </c>
      <c r="G3" s="9">
        <v>12</v>
      </c>
      <c r="H3" s="9">
        <v>5</v>
      </c>
      <c r="I3" s="9">
        <v>22</v>
      </c>
      <c r="J3" s="9">
        <v>8</v>
      </c>
      <c r="K3" s="9">
        <v>10</v>
      </c>
      <c r="L3" s="9">
        <v>14</v>
      </c>
      <c r="M3" s="7" t="s">
        <v>15</v>
      </c>
      <c r="N3" s="7" t="s">
        <v>16</v>
      </c>
    </row>
    <row r="4" spans="1:15" x14ac:dyDescent="0.3">
      <c r="A4" s="7">
        <v>1</v>
      </c>
      <c r="B4" s="9" t="s">
        <v>17</v>
      </c>
      <c r="C4" s="9">
        <v>0.22802979181044111</v>
      </c>
      <c r="D4" s="9">
        <v>9.0855412507954827E-2</v>
      </c>
      <c r="E4" s="9">
        <v>7.6623148136142502E-2</v>
      </c>
      <c r="F4" s="9">
        <v>6.0542396050619958E-2</v>
      </c>
      <c r="G4" s="9">
        <v>0.10456423615904317</v>
      </c>
      <c r="H4" s="9">
        <v>6.8342940453404527E-2</v>
      </c>
      <c r="I4" s="9">
        <v>6.5125663465307432E-2</v>
      </c>
      <c r="J4" s="9">
        <v>7.7818008905370203E-2</v>
      </c>
      <c r="K4" s="9">
        <v>4.1287175192261383E-2</v>
      </c>
      <c r="L4" s="9">
        <v>9.4226222303239904E-2</v>
      </c>
      <c r="M4" s="7">
        <f>AVERAGE(H4:L4)/AVERAGE(C4:G4)</f>
        <v>0.61860638728254924</v>
      </c>
      <c r="N4" s="7">
        <f>_xlfn.T.TEST(C4:G4,H4:L4,2,2)</f>
        <v>0.20658533878017751</v>
      </c>
      <c r="O4" s="9"/>
    </row>
    <row r="5" spans="1:15" x14ac:dyDescent="0.3">
      <c r="A5" s="7">
        <v>2</v>
      </c>
      <c r="B5" s="9" t="s">
        <v>18</v>
      </c>
      <c r="C5" s="9">
        <v>0.23447500179607314</v>
      </c>
      <c r="D5" s="9">
        <v>9.7684923543584906E-2</v>
      </c>
      <c r="E5" s="9">
        <v>7.1359318296584637E-2</v>
      </c>
      <c r="F5" s="9">
        <v>6.3416817624106836E-2</v>
      </c>
      <c r="G5" s="9">
        <v>0.10464663596889712</v>
      </c>
      <c r="H5" s="9">
        <v>5.7819238497355263E-2</v>
      </c>
      <c r="I5" s="9">
        <v>6.5829719030910769E-2</v>
      </c>
      <c r="J5" s="9">
        <v>7.1602739728803141E-2</v>
      </c>
      <c r="K5" s="9">
        <v>4.0940196590089226E-2</v>
      </c>
      <c r="L5" s="9">
        <v>9.8620361847520308E-2</v>
      </c>
      <c r="M5" s="7">
        <f t="shared" ref="M5:M68" si="0">AVERAGE(H5:L5)/AVERAGE(C5:G5)</f>
        <v>0.5857634552579789</v>
      </c>
      <c r="N5" s="7">
        <f t="shared" ref="N5:N68" si="1">_xlfn.T.TEST(C5:G5,H5:L5,2,2)</f>
        <v>0.18232637744515401</v>
      </c>
      <c r="O5" s="9"/>
    </row>
    <row r="6" spans="1:15" x14ac:dyDescent="0.3">
      <c r="A6" s="7">
        <v>3</v>
      </c>
      <c r="B6" s="9" t="s">
        <v>19</v>
      </c>
      <c r="C6" s="9">
        <v>1.5581966561646139</v>
      </c>
      <c r="D6" s="9">
        <v>3.8020620865386991</v>
      </c>
      <c r="E6" s="9">
        <v>0.95287456159071415</v>
      </c>
      <c r="F6" s="9">
        <v>2.2539969618892286</v>
      </c>
      <c r="G6" s="9">
        <v>1.4222909984740977</v>
      </c>
      <c r="H6" s="9">
        <v>0.21990469079300795</v>
      </c>
      <c r="I6" s="9">
        <v>0.58957634504673362</v>
      </c>
      <c r="J6" s="9">
        <v>0.91750498588427754</v>
      </c>
      <c r="K6" s="9">
        <v>0.12301232791442496</v>
      </c>
      <c r="L6" s="9">
        <v>0.45473902863464227</v>
      </c>
      <c r="M6" s="7">
        <f t="shared" si="0"/>
        <v>0.23071780809037098</v>
      </c>
      <c r="N6" s="7">
        <f t="shared" si="1"/>
        <v>1.7711022153588205E-2</v>
      </c>
      <c r="O6" s="9"/>
    </row>
    <row r="7" spans="1:15" s="13" customFormat="1" x14ac:dyDescent="0.3">
      <c r="A7" s="13">
        <v>4</v>
      </c>
      <c r="B7" s="14" t="s">
        <v>20</v>
      </c>
      <c r="C7" s="14">
        <v>1.5070744552881032</v>
      </c>
      <c r="D7" s="14">
        <v>3.5095597764541497</v>
      </c>
      <c r="E7" s="14">
        <v>0.94350230361373688</v>
      </c>
      <c r="F7" s="14">
        <v>2.3342695323578928</v>
      </c>
      <c r="G7" s="14">
        <v>1.4609180349676576</v>
      </c>
      <c r="H7" s="14">
        <v>0.23013651348111813</v>
      </c>
      <c r="I7" s="14">
        <v>0.61297442930578383</v>
      </c>
      <c r="J7" s="14">
        <v>0.88499345662667339</v>
      </c>
      <c r="K7" s="14">
        <v>0.12263299675831171</v>
      </c>
      <c r="L7" s="14">
        <v>0.4934975303093328</v>
      </c>
      <c r="M7" s="13">
        <f t="shared" si="0"/>
        <v>0.24030313107043128</v>
      </c>
      <c r="N7" s="13">
        <f t="shared" si="1"/>
        <v>1.3390873073545261E-2</v>
      </c>
      <c r="O7" s="14"/>
    </row>
    <row r="8" spans="1:15" x14ac:dyDescent="0.3">
      <c r="A8" s="7">
        <v>5</v>
      </c>
      <c r="B8" s="9" t="s">
        <v>21</v>
      </c>
      <c r="C8" s="9">
        <v>1.3238522457022117</v>
      </c>
      <c r="D8" s="9">
        <v>1.9205831452910251</v>
      </c>
      <c r="E8" s="9">
        <v>3.197440200102307</v>
      </c>
      <c r="F8" s="9">
        <v>7.6363761077740415</v>
      </c>
      <c r="G8" s="9">
        <v>4.1383329827783042</v>
      </c>
      <c r="H8" s="9">
        <v>0.68113216684281752</v>
      </c>
      <c r="I8" s="9">
        <v>0.99688591524210413</v>
      </c>
      <c r="J8" s="9">
        <v>0.43496536945416409</v>
      </c>
      <c r="K8" s="9">
        <v>0.82107215097775987</v>
      </c>
      <c r="L8" s="9">
        <v>0.5795887293676879</v>
      </c>
      <c r="M8" s="7">
        <f t="shared" si="0"/>
        <v>0.19288161822255948</v>
      </c>
      <c r="N8" s="7">
        <f t="shared" si="1"/>
        <v>2.9984320771825362E-2</v>
      </c>
      <c r="O8" s="9"/>
    </row>
    <row r="9" spans="1:15" x14ac:dyDescent="0.3">
      <c r="A9" s="7">
        <v>6</v>
      </c>
      <c r="B9" s="9" t="s">
        <v>22</v>
      </c>
      <c r="C9" s="9">
        <v>1.64131196230513</v>
      </c>
      <c r="D9" s="9">
        <v>1.7150730621096855</v>
      </c>
      <c r="E9" s="9">
        <v>0.54506936858512145</v>
      </c>
      <c r="F9" s="9">
        <v>0.73503095702025834</v>
      </c>
      <c r="G9" s="9">
        <v>1.2636182544712551</v>
      </c>
      <c r="H9" s="9">
        <v>0.40219739369969659</v>
      </c>
      <c r="I9" s="9">
        <v>0.61896355776188827</v>
      </c>
      <c r="J9" s="9">
        <v>0.9961326646125559</v>
      </c>
      <c r="K9" s="9">
        <v>1.5723304095539543</v>
      </c>
      <c r="L9" s="9">
        <v>1.0851862127775991</v>
      </c>
      <c r="M9" s="7">
        <f t="shared" si="0"/>
        <v>0.79232680504915165</v>
      </c>
      <c r="N9" s="7">
        <f t="shared" si="1"/>
        <v>0.45219158320298125</v>
      </c>
      <c r="O9" s="9"/>
    </row>
    <row r="10" spans="1:15" x14ac:dyDescent="0.3">
      <c r="A10" s="7">
        <v>7</v>
      </c>
      <c r="B10" s="9" t="s">
        <v>23</v>
      </c>
      <c r="C10" s="9">
        <v>1.172614580311812</v>
      </c>
      <c r="D10" s="9">
        <v>1.0370134895026339</v>
      </c>
      <c r="E10" s="9">
        <v>0.50440326139722003</v>
      </c>
      <c r="F10" s="9">
        <v>0.7325017593229568</v>
      </c>
      <c r="G10" s="9">
        <v>0.76490555073749944</v>
      </c>
      <c r="H10" s="9">
        <v>0.68266695572188285</v>
      </c>
      <c r="I10" s="9">
        <v>0.96400379963326932</v>
      </c>
      <c r="J10" s="9">
        <v>0.85630234558125373</v>
      </c>
      <c r="K10" s="9">
        <v>0.87240091758873339</v>
      </c>
      <c r="L10" s="9">
        <v>1.1098717886062182</v>
      </c>
      <c r="M10" s="7">
        <f t="shared" si="0"/>
        <v>1.0650151145919409</v>
      </c>
      <c r="N10" s="7">
        <f t="shared" si="1"/>
        <v>0.70052370788933171</v>
      </c>
      <c r="O10" s="9"/>
    </row>
    <row r="11" spans="1:15" x14ac:dyDescent="0.3">
      <c r="A11" s="7">
        <v>8</v>
      </c>
      <c r="B11" s="9" t="s">
        <v>24</v>
      </c>
      <c r="C11" s="9">
        <v>1.2814870242806504</v>
      </c>
      <c r="D11" s="9">
        <v>0.92112907946096545</v>
      </c>
      <c r="E11" s="9">
        <v>0.56399581028915624</v>
      </c>
      <c r="F11" s="9">
        <v>0.77675094313203752</v>
      </c>
      <c r="G11" s="9">
        <v>0.83438119631247265</v>
      </c>
      <c r="H11" s="9">
        <v>0.64010138452782706</v>
      </c>
      <c r="I11" s="9">
        <v>0.98363969326450618</v>
      </c>
      <c r="J11" s="9">
        <v>0.93723622669734286</v>
      </c>
      <c r="K11" s="9">
        <v>1.121528484283125</v>
      </c>
      <c r="L11" s="9">
        <v>1.2739188493983085</v>
      </c>
      <c r="M11" s="7">
        <f t="shared" si="0"/>
        <v>1.1321869386668324</v>
      </c>
      <c r="N11" s="7">
        <f t="shared" si="1"/>
        <v>0.48445049859914646</v>
      </c>
      <c r="O11" s="9"/>
    </row>
    <row r="12" spans="1:15" s="13" customFormat="1" x14ac:dyDescent="0.3">
      <c r="A12" s="13">
        <v>9</v>
      </c>
      <c r="B12" s="14" t="s">
        <v>25</v>
      </c>
      <c r="C12" s="14">
        <v>0.2075435281620662</v>
      </c>
      <c r="D12" s="14">
        <v>0.62037943455352562</v>
      </c>
      <c r="E12" s="14">
        <v>0.16161893439477981</v>
      </c>
      <c r="F12" s="14">
        <v>0.27475874312696807</v>
      </c>
      <c r="G12" s="14">
        <v>0.5799273089037752</v>
      </c>
      <c r="H12" s="14">
        <v>0.11678773096820971</v>
      </c>
      <c r="I12" s="14">
        <v>0.13553228216457128</v>
      </c>
      <c r="J12" s="14">
        <v>0.17771309454202056</v>
      </c>
      <c r="K12" s="14">
        <v>0.12658003082726013</v>
      </c>
      <c r="L12" s="14">
        <v>0.19976498799137615</v>
      </c>
      <c r="M12" s="13">
        <f t="shared" si="0"/>
        <v>0.41013266654249247</v>
      </c>
      <c r="N12" s="13">
        <f t="shared" si="1"/>
        <v>5.6480677583981301E-2</v>
      </c>
      <c r="O12" s="14"/>
    </row>
    <row r="13" spans="1:15" x14ac:dyDescent="0.3">
      <c r="A13" s="7">
        <v>10</v>
      </c>
      <c r="B13" s="9" t="s">
        <v>26</v>
      </c>
      <c r="C13" s="9">
        <v>2.6186575702327963</v>
      </c>
      <c r="D13" s="9">
        <v>0.95181156096868214</v>
      </c>
      <c r="E13" s="9">
        <v>1.392498265375437</v>
      </c>
      <c r="F13" s="9">
        <v>1.4903820589563554</v>
      </c>
      <c r="G13" s="9">
        <v>1.1432496257300711</v>
      </c>
      <c r="H13" s="9">
        <v>1.3362640744033931</v>
      </c>
      <c r="I13" s="9">
        <v>1.767361519873869</v>
      </c>
      <c r="J13" s="9">
        <v>1.8377037513054799</v>
      </c>
      <c r="K13" s="9">
        <v>1.7313344197634237</v>
      </c>
      <c r="L13" s="9">
        <v>0.73828070932559275</v>
      </c>
      <c r="M13" s="7">
        <f t="shared" si="0"/>
        <v>0.97556082602154282</v>
      </c>
      <c r="N13" s="7">
        <f t="shared" si="1"/>
        <v>0.91947824029880942</v>
      </c>
      <c r="O13" s="9"/>
    </row>
    <row r="14" spans="1:15" x14ac:dyDescent="0.3">
      <c r="A14" s="7">
        <v>11</v>
      </c>
      <c r="B14" s="9" t="s">
        <v>27</v>
      </c>
      <c r="C14" s="9">
        <v>1.0449950858756396</v>
      </c>
      <c r="D14" s="9">
        <v>0.74436331445150894</v>
      </c>
      <c r="E14" s="9">
        <v>0.42377656511833417</v>
      </c>
      <c r="F14" s="9">
        <v>0.74305118896612998</v>
      </c>
      <c r="G14" s="9">
        <v>0.17178145936102809</v>
      </c>
      <c r="H14" s="9">
        <v>0.34913132540433423</v>
      </c>
      <c r="I14" s="9">
        <v>0.57351151547296897</v>
      </c>
      <c r="J14" s="9">
        <v>0.7518409678919401</v>
      </c>
      <c r="K14" s="9">
        <v>0.66341623521006265</v>
      </c>
      <c r="L14" s="9">
        <v>0.62966347994561378</v>
      </c>
      <c r="M14" s="7">
        <f t="shared" si="0"/>
        <v>0.9487193891837461</v>
      </c>
      <c r="N14" s="7">
        <f t="shared" si="1"/>
        <v>0.85032814733908335</v>
      </c>
      <c r="O14" s="9"/>
    </row>
    <row r="15" spans="1:15" x14ac:dyDescent="0.3">
      <c r="A15" s="7">
        <v>12</v>
      </c>
      <c r="B15" s="9" t="s">
        <v>28</v>
      </c>
      <c r="C15" s="9">
        <v>0.61798623972141387</v>
      </c>
      <c r="D15" s="9">
        <v>1.4281120869004349</v>
      </c>
      <c r="E15" s="9">
        <v>0.52420553114175339</v>
      </c>
      <c r="F15" s="9">
        <v>0.52951072121364573</v>
      </c>
      <c r="G15" s="9">
        <v>2.5635873683734984</v>
      </c>
      <c r="H15" s="9">
        <v>2.3588351806833715E-2</v>
      </c>
      <c r="I15" s="9">
        <v>3.9843085532098768E-2</v>
      </c>
      <c r="J15" s="9">
        <v>0.33232195755275901</v>
      </c>
      <c r="K15" s="9">
        <v>0.2818533656820798</v>
      </c>
      <c r="L15" s="9">
        <v>0.11473976742673674</v>
      </c>
      <c r="M15" s="7">
        <f t="shared" si="0"/>
        <v>0.1399064617638795</v>
      </c>
      <c r="N15" s="7">
        <f t="shared" si="1"/>
        <v>4.1172864523700815E-2</v>
      </c>
      <c r="O15" s="9"/>
    </row>
    <row r="16" spans="1:15" x14ac:dyDescent="0.3">
      <c r="A16" s="7">
        <v>13</v>
      </c>
      <c r="B16" s="9" t="s">
        <v>29</v>
      </c>
      <c r="C16" s="9">
        <v>1.2406727032489426</v>
      </c>
      <c r="D16" s="9">
        <v>0.82994878602844457</v>
      </c>
      <c r="E16" s="9">
        <v>0.49723564763130507</v>
      </c>
      <c r="F16" s="9">
        <v>0.73961129622538768</v>
      </c>
      <c r="G16" s="9">
        <v>0.4665575371209697</v>
      </c>
      <c r="H16" s="9">
        <v>0.51823802980278244</v>
      </c>
      <c r="I16" s="9">
        <v>0.65993871974955387</v>
      </c>
      <c r="J16" s="9">
        <v>1.0065863104963026</v>
      </c>
      <c r="K16" s="9">
        <v>0.87281528427887756</v>
      </c>
      <c r="L16" s="9">
        <v>0.88394573326616532</v>
      </c>
      <c r="M16" s="7">
        <f t="shared" si="0"/>
        <v>1.044381811004685</v>
      </c>
      <c r="N16" s="7">
        <f t="shared" si="1"/>
        <v>0.84421335204275694</v>
      </c>
      <c r="O16" s="9"/>
    </row>
    <row r="17" spans="1:15" x14ac:dyDescent="0.3">
      <c r="A17" s="7">
        <v>14</v>
      </c>
      <c r="B17" s="9" t="s">
        <v>30</v>
      </c>
      <c r="C17" s="9">
        <v>1.5779103382441535</v>
      </c>
      <c r="D17" s="9">
        <v>0.7921963289863142</v>
      </c>
      <c r="E17" s="9">
        <v>0.31951274411308322</v>
      </c>
      <c r="F17" s="9">
        <v>0.48509268900943342</v>
      </c>
      <c r="G17" s="9">
        <v>0.61939937431321357</v>
      </c>
      <c r="H17" s="9">
        <v>0.31347618726409848</v>
      </c>
      <c r="I17" s="9">
        <v>0.97612903004348162</v>
      </c>
      <c r="J17" s="9">
        <v>1.0922155516503567</v>
      </c>
      <c r="K17" s="9">
        <v>0.9797667971717442</v>
      </c>
      <c r="L17" s="9">
        <v>2.0989616944703968</v>
      </c>
      <c r="M17" s="7">
        <f t="shared" si="0"/>
        <v>1.4392168751658758</v>
      </c>
      <c r="N17" s="7">
        <f t="shared" si="1"/>
        <v>0.38280373044903493</v>
      </c>
      <c r="O17" s="9"/>
    </row>
    <row r="18" spans="1:15" x14ac:dyDescent="0.3">
      <c r="A18" s="7">
        <v>15</v>
      </c>
      <c r="B18" s="9" t="s">
        <v>31</v>
      </c>
      <c r="C18" s="9">
        <v>9.1222122448812795E-2</v>
      </c>
      <c r="D18" s="9">
        <v>0.14143734848721082</v>
      </c>
      <c r="E18" s="9">
        <v>6.0623864991808975E-2</v>
      </c>
      <c r="F18" s="9">
        <v>8.5248874295773339E-2</v>
      </c>
      <c r="G18" s="9">
        <v>7.9981516076745598E-2</v>
      </c>
      <c r="H18" s="9">
        <v>9.5317932188360141E-2</v>
      </c>
      <c r="I18" s="9">
        <v>4.8779455998189114E-2</v>
      </c>
      <c r="J18" s="9">
        <v>0.24237625371899454</v>
      </c>
      <c r="K18" s="9">
        <v>4.889098327316873E-2</v>
      </c>
      <c r="L18" s="9">
        <v>0.27014984012530774</v>
      </c>
      <c r="M18" s="7">
        <f t="shared" si="0"/>
        <v>1.5386986797465463</v>
      </c>
      <c r="N18" s="7">
        <f t="shared" si="1"/>
        <v>0.35049351351232449</v>
      </c>
      <c r="O18" s="9"/>
    </row>
    <row r="19" spans="1:15" x14ac:dyDescent="0.3">
      <c r="A19" s="7">
        <v>16</v>
      </c>
      <c r="B19" s="9" t="s">
        <v>32</v>
      </c>
      <c r="C19" s="9">
        <v>0.1667361041485034</v>
      </c>
      <c r="D19" s="9">
        <v>0.16220165177284859</v>
      </c>
      <c r="E19" s="9">
        <v>0.11593880692841883</v>
      </c>
      <c r="F19" s="9">
        <v>0.10529577132724928</v>
      </c>
      <c r="G19" s="9">
        <v>8.9125279577220218E-2</v>
      </c>
      <c r="H19" s="9">
        <v>8.7823527550508138E-2</v>
      </c>
      <c r="I19" s="9">
        <v>0.13021861004392357</v>
      </c>
      <c r="J19" s="9">
        <v>0.10742642685261615</v>
      </c>
      <c r="K19" s="9">
        <v>6.4246757342567837E-2</v>
      </c>
      <c r="L19" s="9">
        <v>0.23923045043270563</v>
      </c>
      <c r="M19" s="7">
        <f t="shared" si="0"/>
        <v>0.98380747666000445</v>
      </c>
      <c r="N19" s="7">
        <f t="shared" si="1"/>
        <v>0.95311684898349713</v>
      </c>
      <c r="O19" s="9"/>
    </row>
    <row r="20" spans="1:15" x14ac:dyDescent="0.3">
      <c r="A20" s="7">
        <v>17</v>
      </c>
      <c r="B20" s="9" t="s">
        <v>33</v>
      </c>
      <c r="C20" s="9">
        <v>0.21043093514963054</v>
      </c>
      <c r="D20" s="9">
        <v>0.79409898368426823</v>
      </c>
      <c r="E20" s="9">
        <v>0.98267189422117773</v>
      </c>
      <c r="F20" s="9">
        <v>0.29460181303618549</v>
      </c>
      <c r="G20" s="9">
        <v>0.51230131854234795</v>
      </c>
      <c r="H20" s="9">
        <v>0.34754481149459815</v>
      </c>
      <c r="I20" s="9">
        <v>0.29741388001877189</v>
      </c>
      <c r="J20" s="9">
        <v>0.252884499275568</v>
      </c>
      <c r="K20" s="9">
        <v>0.7175170351111172</v>
      </c>
      <c r="L20" s="9">
        <v>0.50337071574473857</v>
      </c>
      <c r="M20" s="7">
        <f t="shared" si="0"/>
        <v>0.75828610006723374</v>
      </c>
      <c r="N20" s="7">
        <f t="shared" si="1"/>
        <v>0.44750124093810928</v>
      </c>
      <c r="O20" s="9"/>
    </row>
    <row r="21" spans="1:15" x14ac:dyDescent="0.3">
      <c r="A21" s="7">
        <v>18</v>
      </c>
      <c r="B21" s="9" t="s">
        <v>34</v>
      </c>
      <c r="C21" s="9">
        <v>1.1284832262910574</v>
      </c>
      <c r="D21" s="9">
        <v>0.81183807403521357</v>
      </c>
      <c r="E21" s="9">
        <v>0.57280949887179677</v>
      </c>
      <c r="F21" s="9">
        <v>0.59316096113737649</v>
      </c>
      <c r="G21" s="9">
        <v>0.77723531973754623</v>
      </c>
      <c r="H21" s="9">
        <v>1.0276101006143206</v>
      </c>
      <c r="I21" s="9">
        <v>1.2355173615413804</v>
      </c>
      <c r="J21" s="9">
        <v>1.0791332837656344</v>
      </c>
      <c r="K21" s="9">
        <v>1.535868179703592</v>
      </c>
      <c r="L21" s="9">
        <v>1.0891510149790526</v>
      </c>
      <c r="M21" s="7">
        <f t="shared" si="0"/>
        <v>1.5365619493740794</v>
      </c>
      <c r="N21" s="7">
        <f t="shared" si="1"/>
        <v>1.5557532900857363E-2</v>
      </c>
      <c r="O21" s="9"/>
    </row>
    <row r="22" spans="1:15" x14ac:dyDescent="0.3">
      <c r="A22" s="7">
        <v>19</v>
      </c>
      <c r="B22" s="9" t="s">
        <v>35</v>
      </c>
      <c r="C22" s="9">
        <v>0.31102813760483589</v>
      </c>
      <c r="D22" s="9">
        <v>0.15234768061240259</v>
      </c>
      <c r="E22" s="9">
        <v>6.9713547223195796E-2</v>
      </c>
      <c r="F22" s="9">
        <v>0.14951988425977766</v>
      </c>
      <c r="G22" s="9">
        <v>0.13798827596604873</v>
      </c>
      <c r="H22" s="9">
        <v>7.7386212179357899E-2</v>
      </c>
      <c r="I22" s="9">
        <v>0.26003050952208823</v>
      </c>
      <c r="J22" s="9">
        <v>0.20667562116588839</v>
      </c>
      <c r="K22" s="9">
        <v>0.18007956609989131</v>
      </c>
      <c r="L22" s="9">
        <v>0.58090599527769593</v>
      </c>
      <c r="M22" s="7">
        <f t="shared" si="0"/>
        <v>1.590399511849979</v>
      </c>
      <c r="N22" s="7">
        <f t="shared" si="1"/>
        <v>0.33325116909966263</v>
      </c>
      <c r="O22" s="9"/>
    </row>
    <row r="23" spans="1:15" x14ac:dyDescent="0.3">
      <c r="A23" s="7">
        <v>20</v>
      </c>
      <c r="B23" s="9" t="s">
        <v>36</v>
      </c>
      <c r="C23" s="9">
        <v>1.3518341387421606</v>
      </c>
      <c r="D23" s="9">
        <v>0.4123337823806264</v>
      </c>
      <c r="E23" s="9">
        <v>1.9567929256101064</v>
      </c>
      <c r="F23" s="9">
        <v>2.413412203471597</v>
      </c>
      <c r="G23" s="9">
        <v>5.660460690132282E-3</v>
      </c>
      <c r="H23" s="9">
        <v>1.4954802379839425</v>
      </c>
      <c r="I23" s="9">
        <v>3.2861091727739788</v>
      </c>
      <c r="J23" s="9">
        <v>2.2899899511704795</v>
      </c>
      <c r="K23" s="9">
        <v>2.1494261547077445</v>
      </c>
      <c r="L23" s="9">
        <v>3.9335017560328386E-3</v>
      </c>
      <c r="M23" s="7">
        <f t="shared" si="0"/>
        <v>1.5024248649496499</v>
      </c>
      <c r="N23" s="7">
        <f t="shared" si="1"/>
        <v>0.40811827935245215</v>
      </c>
      <c r="O23" s="9"/>
    </row>
    <row r="24" spans="1:15" x14ac:dyDescent="0.3">
      <c r="A24" s="7">
        <v>21</v>
      </c>
      <c r="B24" s="9" t="s">
        <v>37</v>
      </c>
      <c r="C24" s="9">
        <v>0.49783296853172709</v>
      </c>
      <c r="D24" s="9">
        <v>0.14461737510630984</v>
      </c>
      <c r="E24" s="9">
        <v>0.21709514784266354</v>
      </c>
      <c r="F24" s="9">
        <v>0.34388245088910507</v>
      </c>
      <c r="G24" s="9">
        <v>0.19045670003415688</v>
      </c>
      <c r="H24" s="9">
        <v>0.35472851903313807</v>
      </c>
      <c r="I24" s="9">
        <v>0.5737465051855275</v>
      </c>
      <c r="J24" s="9">
        <v>0.33470001168012065</v>
      </c>
      <c r="K24" s="9">
        <v>0.32673993292274095</v>
      </c>
      <c r="L24" s="9">
        <v>0.20297509781448472</v>
      </c>
      <c r="M24" s="7">
        <f t="shared" si="0"/>
        <v>1.2862542653055602</v>
      </c>
      <c r="N24" s="7">
        <f t="shared" si="1"/>
        <v>0.38961240323849977</v>
      </c>
      <c r="O24" s="9"/>
    </row>
    <row r="25" spans="1:15" x14ac:dyDescent="0.3">
      <c r="A25" s="7">
        <v>22</v>
      </c>
      <c r="B25" s="9" t="s">
        <v>38</v>
      </c>
      <c r="C25" s="9">
        <v>1.3233985389417633</v>
      </c>
      <c r="D25" s="9">
        <v>0.56453087315524608</v>
      </c>
      <c r="E25" s="9">
        <v>0.34733239118420134</v>
      </c>
      <c r="F25" s="9">
        <v>0.54191590500151332</v>
      </c>
      <c r="G25" s="9">
        <v>0.71809774908882218</v>
      </c>
      <c r="H25" s="9">
        <v>0.48463159631827807</v>
      </c>
      <c r="I25" s="9">
        <v>1.2059622914455239</v>
      </c>
      <c r="J25" s="9">
        <v>1.1018175597694262</v>
      </c>
      <c r="K25" s="9">
        <v>1.0482010862113449</v>
      </c>
      <c r="L25" s="9">
        <v>1.125376331999447</v>
      </c>
      <c r="M25" s="7">
        <f t="shared" si="0"/>
        <v>1.4207718179323277</v>
      </c>
      <c r="N25" s="7">
        <f t="shared" si="1"/>
        <v>0.20136170481357235</v>
      </c>
      <c r="O25" s="9"/>
    </row>
    <row r="26" spans="1:15" x14ac:dyDescent="0.3">
      <c r="A26" s="7">
        <v>23</v>
      </c>
      <c r="B26" s="9" t="s">
        <v>39</v>
      </c>
      <c r="C26" s="9">
        <v>1.960798517247608E-2</v>
      </c>
      <c r="D26" s="9">
        <v>3.5160516124277445E-2</v>
      </c>
      <c r="E26" s="9">
        <v>3.7062042250213416E-2</v>
      </c>
      <c r="F26" s="9">
        <v>3.2124228277330878E-2</v>
      </c>
      <c r="G26" s="9">
        <v>8.8272495565288503E-2</v>
      </c>
      <c r="H26" s="9">
        <v>1.312095828208752E-2</v>
      </c>
      <c r="I26" s="9">
        <v>1.5190748538006543E-2</v>
      </c>
      <c r="J26" s="9">
        <v>2.2755029500009228E-2</v>
      </c>
      <c r="K26" s="9">
        <v>2.8426734402811949E-2</v>
      </c>
      <c r="L26" s="9">
        <v>4.2364222520051717E-2</v>
      </c>
      <c r="M26" s="7">
        <f t="shared" si="0"/>
        <v>0.5741849044273486</v>
      </c>
      <c r="N26" s="7">
        <f t="shared" si="1"/>
        <v>0.20092641671604111</v>
      </c>
      <c r="O26" s="9"/>
    </row>
    <row r="27" spans="1:15" x14ac:dyDescent="0.3">
      <c r="A27" s="7">
        <v>24</v>
      </c>
      <c r="B27" s="9" t="s">
        <v>40</v>
      </c>
      <c r="C27" s="9">
        <v>1.2567422363386718</v>
      </c>
      <c r="D27" s="9">
        <v>0.65218125595458654</v>
      </c>
      <c r="E27" s="9">
        <v>0.48805816892434822</v>
      </c>
      <c r="F27" s="9">
        <v>0.39197265670561882</v>
      </c>
      <c r="G27" s="9">
        <v>0.33736436972036277</v>
      </c>
      <c r="H27" s="9">
        <v>0.22665289905550479</v>
      </c>
      <c r="I27" s="9">
        <v>0.46752094678058825</v>
      </c>
      <c r="J27" s="9">
        <v>0.53211118468942153</v>
      </c>
      <c r="K27" s="9">
        <v>0.30170904046403113</v>
      </c>
      <c r="L27" s="9">
        <v>0.73626670979796494</v>
      </c>
      <c r="M27" s="7">
        <f t="shared" si="0"/>
        <v>0.72425782750067635</v>
      </c>
      <c r="N27" s="7">
        <f t="shared" si="1"/>
        <v>0.38895341548483964</v>
      </c>
      <c r="O27" s="9"/>
    </row>
    <row r="28" spans="1:15" x14ac:dyDescent="0.3">
      <c r="A28" s="7">
        <v>25</v>
      </c>
      <c r="B28" s="9" t="s">
        <v>41</v>
      </c>
      <c r="C28" s="9">
        <v>0.75229679389135118</v>
      </c>
      <c r="D28" s="9">
        <v>0.45214433451101815</v>
      </c>
      <c r="E28" s="9">
        <v>0.51354007513388134</v>
      </c>
      <c r="F28" s="9">
        <v>7.0667346212556792</v>
      </c>
      <c r="G28" s="9">
        <v>0.37400712890911547</v>
      </c>
      <c r="H28" s="9">
        <v>1.268546415574227</v>
      </c>
      <c r="I28" s="9">
        <v>0.87186565284632711</v>
      </c>
      <c r="J28" s="9">
        <v>0.70361643619809311</v>
      </c>
      <c r="K28" s="9">
        <v>1.963927572448372</v>
      </c>
      <c r="L28" s="9">
        <v>1.4124871150507916</v>
      </c>
      <c r="M28" s="7">
        <f t="shared" si="0"/>
        <v>0.67918237330283326</v>
      </c>
      <c r="N28" s="7">
        <f t="shared" si="1"/>
        <v>0.67002294368190241</v>
      </c>
      <c r="O28" s="9"/>
    </row>
    <row r="29" spans="1:15" x14ac:dyDescent="0.3">
      <c r="A29" s="7">
        <v>26</v>
      </c>
      <c r="B29" s="9" t="s">
        <v>42</v>
      </c>
      <c r="C29" s="9">
        <v>1.1756583961032772</v>
      </c>
      <c r="D29" s="9">
        <v>4.651965285160789E-2</v>
      </c>
      <c r="E29" s="9">
        <v>0.95462849846130071</v>
      </c>
      <c r="F29" s="9">
        <v>1.6948115145733669</v>
      </c>
      <c r="G29" s="9">
        <v>3.2667888286912548E-2</v>
      </c>
      <c r="H29" s="9">
        <v>0.49952252553123794</v>
      </c>
      <c r="I29" s="9">
        <v>2.0814492889431651</v>
      </c>
      <c r="J29" s="9">
        <v>2.2164558947362845</v>
      </c>
      <c r="K29" s="9">
        <v>1.5181030903442911</v>
      </c>
      <c r="L29" s="9">
        <v>2.9755902567197158E-2</v>
      </c>
      <c r="M29" s="7">
        <f t="shared" si="0"/>
        <v>1.6252105462902533</v>
      </c>
      <c r="N29" s="7">
        <f t="shared" si="1"/>
        <v>0.39375614126938763</v>
      </c>
      <c r="O29" s="9"/>
    </row>
    <row r="30" spans="1:15" x14ac:dyDescent="0.3">
      <c r="A30" s="7">
        <v>27</v>
      </c>
      <c r="B30" s="9" t="s">
        <v>43</v>
      </c>
      <c r="C30" s="9">
        <v>2.0013438174939289</v>
      </c>
      <c r="D30" s="9">
        <v>1.1456741961912418</v>
      </c>
      <c r="E30" s="9">
        <v>1.295181109551218</v>
      </c>
      <c r="F30" s="9">
        <v>1.284454164617461</v>
      </c>
      <c r="G30" s="9">
        <v>0.15651156325089624</v>
      </c>
      <c r="H30" s="9">
        <v>0.48881124148964666</v>
      </c>
      <c r="I30" s="9">
        <v>1.1731635728243033</v>
      </c>
      <c r="J30" s="9">
        <v>1.043801210677346</v>
      </c>
      <c r="K30" s="9">
        <v>0.38428431745501535</v>
      </c>
      <c r="L30" s="9">
        <v>0.76879553723576111</v>
      </c>
      <c r="M30" s="7">
        <f t="shared" si="0"/>
        <v>0.65591496708739216</v>
      </c>
      <c r="N30" s="7">
        <f t="shared" si="1"/>
        <v>0.25822117670137068</v>
      </c>
      <c r="O30" s="9"/>
    </row>
    <row r="31" spans="1:15" x14ac:dyDescent="0.3">
      <c r="A31" s="7">
        <v>28</v>
      </c>
      <c r="B31" s="9" t="s">
        <v>44</v>
      </c>
      <c r="C31" s="9">
        <v>1.4033690917669603</v>
      </c>
      <c r="D31" s="9">
        <v>3.1931722570209846</v>
      </c>
      <c r="E31" s="9">
        <v>1.6346255398326246</v>
      </c>
      <c r="F31" s="9">
        <v>1.2706813272481894</v>
      </c>
      <c r="G31" s="9">
        <v>2.0090774327103111</v>
      </c>
      <c r="H31" s="9">
        <v>0.73213511815547971</v>
      </c>
      <c r="I31" s="9">
        <v>1.0939065007241864</v>
      </c>
      <c r="J31" s="9">
        <v>0.98468538040036968</v>
      </c>
      <c r="K31" s="9">
        <v>0.68058301716947989</v>
      </c>
      <c r="L31" s="9">
        <v>4.812121552221412</v>
      </c>
      <c r="M31" s="7">
        <f t="shared" si="0"/>
        <v>0.87304137110055724</v>
      </c>
      <c r="N31" s="7">
        <f t="shared" si="1"/>
        <v>0.78694150009750485</v>
      </c>
      <c r="O31" s="9"/>
    </row>
    <row r="32" spans="1:15" x14ac:dyDescent="0.3">
      <c r="A32" s="7">
        <v>29</v>
      </c>
      <c r="B32" s="9" t="s">
        <v>45</v>
      </c>
      <c r="C32" s="9">
        <v>1.587832857361215</v>
      </c>
      <c r="D32" s="9">
        <v>0.25627430225363462</v>
      </c>
      <c r="E32" s="9">
        <v>0.88986376252716493</v>
      </c>
      <c r="F32" s="9">
        <v>1.0231946658331137</v>
      </c>
      <c r="G32" s="9">
        <v>0.57978133934805387</v>
      </c>
      <c r="H32" s="9">
        <v>0.51698168200775629</v>
      </c>
      <c r="I32" s="9">
        <v>1.6037613091720402</v>
      </c>
      <c r="J32" s="9">
        <v>0.71282332040989782</v>
      </c>
      <c r="K32" s="9">
        <v>1.3353514772728583</v>
      </c>
      <c r="L32" s="9">
        <v>0.47916041496456918</v>
      </c>
      <c r="M32" s="7">
        <f t="shared" si="0"/>
        <v>1.0717397011579237</v>
      </c>
      <c r="N32" s="7">
        <f t="shared" si="1"/>
        <v>0.85035048844425043</v>
      </c>
      <c r="O32" s="9"/>
    </row>
    <row r="33" spans="1:15" x14ac:dyDescent="0.3">
      <c r="A33" s="7">
        <v>30</v>
      </c>
      <c r="B33" s="9" t="s">
        <v>46</v>
      </c>
      <c r="C33" s="9">
        <v>1.5791587468811039</v>
      </c>
      <c r="D33" s="9">
        <v>0.26130955675290524</v>
      </c>
      <c r="E33" s="9">
        <v>0.81781843926923126</v>
      </c>
      <c r="F33" s="9">
        <v>1.0366738738173236</v>
      </c>
      <c r="G33" s="9">
        <v>0.58472410886368076</v>
      </c>
      <c r="H33" s="9">
        <v>0.52582560681210788</v>
      </c>
      <c r="I33" s="9">
        <v>1.5340900090690035</v>
      </c>
      <c r="J33" s="9">
        <v>0.70765378259747291</v>
      </c>
      <c r="K33" s="9">
        <v>1.3532434015401034</v>
      </c>
      <c r="L33" s="9">
        <v>0.50458801509271967</v>
      </c>
      <c r="M33" s="7">
        <f t="shared" si="0"/>
        <v>1.0807807377633332</v>
      </c>
      <c r="N33" s="7">
        <f t="shared" si="1"/>
        <v>0.82909263297120384</v>
      </c>
      <c r="O33" s="9"/>
    </row>
    <row r="34" spans="1:15" x14ac:dyDescent="0.3">
      <c r="A34" s="7">
        <v>31</v>
      </c>
      <c r="B34" s="9" t="s">
        <v>47</v>
      </c>
      <c r="C34" s="9">
        <v>4.5635123983283581</v>
      </c>
      <c r="D34" s="9">
        <v>1.1532428154102019</v>
      </c>
      <c r="E34" s="9">
        <v>1.2382238833386852</v>
      </c>
      <c r="F34" s="9">
        <v>1.3141028980800997</v>
      </c>
      <c r="G34" s="9">
        <v>0.14873729698874943</v>
      </c>
      <c r="H34" s="9">
        <v>0.16711622666384071</v>
      </c>
      <c r="I34" s="9">
        <v>0.93967446381015107</v>
      </c>
      <c r="J34" s="9">
        <v>0.81072213077106703</v>
      </c>
      <c r="K34" s="9">
        <v>0.27763957984646487</v>
      </c>
      <c r="L34" s="9">
        <v>0.76083694264480162</v>
      </c>
      <c r="M34" s="7">
        <f t="shared" si="0"/>
        <v>0.35115856508042315</v>
      </c>
      <c r="N34" s="7">
        <f t="shared" si="1"/>
        <v>0.19180671363332971</v>
      </c>
      <c r="O34" s="9"/>
    </row>
    <row r="35" spans="1:15" x14ac:dyDescent="0.3">
      <c r="A35" s="7">
        <v>32</v>
      </c>
      <c r="B35" s="9" t="s">
        <v>48</v>
      </c>
      <c r="C35" s="9">
        <v>0.83622803073396768</v>
      </c>
      <c r="D35" s="9">
        <v>0.3386895102574396</v>
      </c>
      <c r="E35" s="9">
        <v>0.52542535123463352</v>
      </c>
      <c r="F35" s="9">
        <v>0.51951409230217771</v>
      </c>
      <c r="G35" s="9">
        <v>0.29650510646443617</v>
      </c>
      <c r="H35" s="9">
        <v>1.5908712996403385</v>
      </c>
      <c r="I35" s="9">
        <v>1.6713051119986955</v>
      </c>
      <c r="J35" s="9">
        <v>1.1094284197198219</v>
      </c>
      <c r="K35" s="9">
        <v>0.83114386226786807</v>
      </c>
      <c r="L35" s="9">
        <v>1.0775082860637359</v>
      </c>
      <c r="M35" s="7">
        <f t="shared" si="0"/>
        <v>2.4957683960391503</v>
      </c>
      <c r="N35" s="7">
        <f t="shared" si="1"/>
        <v>3.8197547309826592E-3</v>
      </c>
      <c r="O35" s="9"/>
    </row>
    <row r="36" spans="1:15" x14ac:dyDescent="0.3">
      <c r="A36" s="7">
        <v>33</v>
      </c>
      <c r="B36" s="9" t="s">
        <v>49</v>
      </c>
      <c r="C36" s="9">
        <v>1.3501954529694282</v>
      </c>
      <c r="D36" s="9">
        <v>1.935927681318621</v>
      </c>
      <c r="E36" s="9">
        <v>0.87652475998207913</v>
      </c>
      <c r="F36" s="9">
        <v>0.78263559939596172</v>
      </c>
      <c r="G36" s="9">
        <v>0.20111287593255858</v>
      </c>
      <c r="H36" s="9">
        <v>0.10351350755432033</v>
      </c>
      <c r="I36" s="9">
        <v>0.51603220956316187</v>
      </c>
      <c r="J36" s="9">
        <v>0.52038451131174235</v>
      </c>
      <c r="K36" s="9">
        <v>0.10510740890867716</v>
      </c>
      <c r="L36" s="9">
        <v>0.91555696211339932</v>
      </c>
      <c r="M36" s="7">
        <f t="shared" si="0"/>
        <v>0.41982669897223629</v>
      </c>
      <c r="N36" s="7">
        <f t="shared" si="1"/>
        <v>0.10662073282833334</v>
      </c>
      <c r="O36" s="9"/>
    </row>
    <row r="37" spans="1:15" x14ac:dyDescent="0.3">
      <c r="A37" s="7">
        <v>34</v>
      </c>
      <c r="B37" s="9" t="s">
        <v>50</v>
      </c>
      <c r="C37" s="9">
        <v>1.2966356696865937</v>
      </c>
      <c r="D37" s="9">
        <v>0.49789882946397673</v>
      </c>
      <c r="E37" s="9">
        <v>0.79294374531750544</v>
      </c>
      <c r="F37" s="9">
        <v>0.91443097122467065</v>
      </c>
      <c r="G37" s="9">
        <v>0.17601796547599671</v>
      </c>
      <c r="H37" s="9">
        <v>0.16666373532382014</v>
      </c>
      <c r="I37" s="9">
        <v>0.74751075977923032</v>
      </c>
      <c r="J37" s="9">
        <v>0.55291102876067166</v>
      </c>
      <c r="K37" s="9">
        <v>0.24643431552204298</v>
      </c>
      <c r="L37" s="9">
        <v>0.74255509541193443</v>
      </c>
      <c r="M37" s="7">
        <f t="shared" si="0"/>
        <v>0.66778780922389747</v>
      </c>
      <c r="N37" s="7">
        <f t="shared" si="1"/>
        <v>0.31021019599780453</v>
      </c>
      <c r="O37" s="9"/>
    </row>
    <row r="38" spans="1:15" x14ac:dyDescent="0.3">
      <c r="A38" s="7">
        <v>35</v>
      </c>
      <c r="B38" s="9" t="s">
        <v>51</v>
      </c>
      <c r="C38" s="9">
        <v>4.6481014916340886E-2</v>
      </c>
      <c r="D38" s="9">
        <v>6.1034311382851113E-2</v>
      </c>
      <c r="E38" s="9">
        <v>4.2143638097575806E-2</v>
      </c>
      <c r="F38" s="9">
        <v>4.6375024887820672E-2</v>
      </c>
      <c r="G38" s="9">
        <v>3.6003935665712007E-2</v>
      </c>
      <c r="H38" s="9">
        <v>3.9298541437084833E-2</v>
      </c>
      <c r="I38" s="9">
        <v>2.5850599056999962E-2</v>
      </c>
      <c r="J38" s="9">
        <v>3.4864787671713957E-2</v>
      </c>
      <c r="K38" s="9">
        <v>2.5035090064775258E-2</v>
      </c>
      <c r="L38" s="9">
        <v>3.2401523305444414E-2</v>
      </c>
      <c r="M38" s="7">
        <f t="shared" si="0"/>
        <v>0.67855520415355508</v>
      </c>
      <c r="N38" s="7">
        <f t="shared" si="1"/>
        <v>1.6484782507143702E-2</v>
      </c>
      <c r="O38" s="9"/>
    </row>
    <row r="39" spans="1:15" x14ac:dyDescent="0.3">
      <c r="A39" s="7">
        <v>36</v>
      </c>
      <c r="B39" s="9" t="s">
        <v>52</v>
      </c>
      <c r="C39" s="9">
        <v>3.6126851399804115E-2</v>
      </c>
      <c r="D39" s="9">
        <v>9.3890843427103257E-2</v>
      </c>
      <c r="E39" s="9">
        <v>2.6523022614190941E-2</v>
      </c>
      <c r="F39" s="9">
        <v>2.6242505471465886E-2</v>
      </c>
      <c r="G39" s="9">
        <v>3.7042379262358913E-2</v>
      </c>
      <c r="H39" s="9">
        <v>3.7692366656106369E-2</v>
      </c>
      <c r="I39" s="9">
        <v>3.5176070893916139E-2</v>
      </c>
      <c r="J39" s="9">
        <v>5.0095720378764884E-2</v>
      </c>
      <c r="K39" s="9">
        <v>3.2658549431775152E-2</v>
      </c>
      <c r="L39" s="9">
        <v>5.710768790267548E-2</v>
      </c>
      <c r="M39" s="7">
        <f t="shared" si="0"/>
        <v>0.9677234733284652</v>
      </c>
      <c r="N39" s="7">
        <f t="shared" si="1"/>
        <v>0.91909296663531603</v>
      </c>
      <c r="O39" s="9"/>
    </row>
    <row r="40" spans="1:15" x14ac:dyDescent="0.3">
      <c r="A40" s="7">
        <v>37</v>
      </c>
      <c r="B40" s="9" t="s">
        <v>53</v>
      </c>
      <c r="C40" s="9">
        <v>1.1986219321697287</v>
      </c>
      <c r="D40" s="9">
        <v>1.7006283164072737</v>
      </c>
      <c r="E40" s="9">
        <v>1.3885713197158414</v>
      </c>
      <c r="F40" s="9">
        <v>1.065890168698546</v>
      </c>
      <c r="G40" s="9">
        <v>2.614237709002448</v>
      </c>
      <c r="H40" s="9">
        <v>1.6482800335494774</v>
      </c>
      <c r="I40" s="9">
        <v>1.7640417860859514</v>
      </c>
      <c r="J40" s="9">
        <v>1.8875387108470276</v>
      </c>
      <c r="K40" s="9">
        <v>1.5633257589098466</v>
      </c>
      <c r="L40" s="9">
        <v>2.21698068364375</v>
      </c>
      <c r="M40" s="7">
        <f t="shared" si="0"/>
        <v>1.139586418636406</v>
      </c>
      <c r="N40" s="7">
        <f t="shared" si="1"/>
        <v>0.47844706780428281</v>
      </c>
      <c r="O40" s="9"/>
    </row>
    <row r="41" spans="1:15" x14ac:dyDescent="0.3">
      <c r="A41" s="7">
        <v>38</v>
      </c>
      <c r="B41" s="9" t="s">
        <v>54</v>
      </c>
      <c r="C41" s="9">
        <v>2.0233578174260365</v>
      </c>
      <c r="D41" s="9">
        <v>1.6597355486286538</v>
      </c>
      <c r="E41" s="9">
        <v>2.4406544071138523</v>
      </c>
      <c r="F41" s="9">
        <v>0.88316310391122654</v>
      </c>
      <c r="G41" s="9">
        <v>2.1006699365910833</v>
      </c>
      <c r="H41" s="9">
        <v>3.2878563542553549</v>
      </c>
      <c r="I41" s="9">
        <v>3.8061786119737815</v>
      </c>
      <c r="J41" s="9">
        <v>2.9402208347319796</v>
      </c>
      <c r="K41" s="9">
        <v>2.6956785651328694</v>
      </c>
      <c r="L41" s="9">
        <v>1.8468316191497154</v>
      </c>
      <c r="M41" s="7">
        <f t="shared" si="0"/>
        <v>1.6005091015347761</v>
      </c>
      <c r="N41" s="7">
        <f t="shared" si="1"/>
        <v>3.1468863454539954E-2</v>
      </c>
      <c r="O41" s="9"/>
    </row>
    <row r="42" spans="1:15" x14ac:dyDescent="0.3">
      <c r="A42" s="7">
        <v>39</v>
      </c>
      <c r="B42" s="9" t="s">
        <v>55</v>
      </c>
      <c r="C42" s="9">
        <v>1.1865404051862791</v>
      </c>
      <c r="D42" s="9">
        <v>1.6042078416316343</v>
      </c>
      <c r="E42" s="9">
        <v>1.3157642786182637</v>
      </c>
      <c r="F42" s="9">
        <v>1.041455412633193</v>
      </c>
      <c r="G42" s="9">
        <v>2.6050994816513731</v>
      </c>
      <c r="H42" s="9">
        <v>1.6142794555661708</v>
      </c>
      <c r="I42" s="9">
        <v>1.7770650594205215</v>
      </c>
      <c r="J42" s="9">
        <v>1.7547879669071946</v>
      </c>
      <c r="K42" s="9">
        <v>1.60463566451044</v>
      </c>
      <c r="L42" s="9">
        <v>2.2002851409317321</v>
      </c>
      <c r="M42" s="7">
        <f t="shared" si="0"/>
        <v>1.1545176641400168</v>
      </c>
      <c r="N42" s="7">
        <f t="shared" si="1"/>
        <v>0.44715139277776983</v>
      </c>
      <c r="O42" s="9"/>
    </row>
    <row r="43" spans="1:15" x14ac:dyDescent="0.3">
      <c r="A43" s="7">
        <v>40</v>
      </c>
      <c r="B43" s="9" t="s">
        <v>56</v>
      </c>
      <c r="C43" s="9">
        <v>1.3355013947216523</v>
      </c>
      <c r="D43" s="9">
        <v>1.1869911418311647</v>
      </c>
      <c r="E43" s="9">
        <v>0.61045046930340985</v>
      </c>
      <c r="F43" s="9">
        <v>1.905148092772877</v>
      </c>
      <c r="G43" s="9">
        <v>2.5614452097797513</v>
      </c>
      <c r="H43" s="9">
        <v>0.86920793253134443</v>
      </c>
      <c r="I43" s="9">
        <v>1.404774787885505</v>
      </c>
      <c r="J43" s="9">
        <v>0.53362999888519413</v>
      </c>
      <c r="K43" s="9">
        <v>0.66940403206593746</v>
      </c>
      <c r="L43" s="9">
        <v>1.6095730545188132</v>
      </c>
      <c r="M43" s="7">
        <f t="shared" si="0"/>
        <v>0.66932896948706</v>
      </c>
      <c r="N43" s="7">
        <f t="shared" si="1"/>
        <v>0.23638030829837714</v>
      </c>
      <c r="O43" s="9"/>
    </row>
    <row r="44" spans="1:15" x14ac:dyDescent="0.3">
      <c r="A44" s="7">
        <v>41</v>
      </c>
      <c r="B44" s="9" t="s">
        <v>57</v>
      </c>
      <c r="C44" s="9">
        <v>1.7208094879981574E-2</v>
      </c>
      <c r="D44" s="9">
        <v>1.9952104302219099E-2</v>
      </c>
      <c r="E44" s="9">
        <v>3.2678504448350387E-3</v>
      </c>
      <c r="F44" s="9">
        <v>1.483541077712505E-2</v>
      </c>
      <c r="G44" s="9">
        <v>3.4651958083361835E-2</v>
      </c>
      <c r="H44" s="9">
        <v>4.3949063055189275E-3</v>
      </c>
      <c r="I44" s="9">
        <v>1.3770260034641272E-2</v>
      </c>
      <c r="J44" s="9">
        <v>1.1557513420506855E-2</v>
      </c>
      <c r="K44" s="9">
        <v>2.3555667267493335E-2</v>
      </c>
      <c r="L44" s="9">
        <v>4.0337507495548201E-2</v>
      </c>
      <c r="M44" s="7">
        <f t="shared" si="0"/>
        <v>1.0411546328586514</v>
      </c>
      <c r="N44" s="7">
        <f t="shared" si="1"/>
        <v>0.92858033568800735</v>
      </c>
      <c r="O44" s="9"/>
    </row>
    <row r="45" spans="1:15" x14ac:dyDescent="0.3">
      <c r="A45" s="7">
        <v>42</v>
      </c>
      <c r="B45" s="9" t="s">
        <v>58</v>
      </c>
      <c r="C45" s="9">
        <v>1.9721566769107242</v>
      </c>
      <c r="D45" s="9">
        <v>2.0159488405790538</v>
      </c>
      <c r="E45" s="9">
        <v>2.6506461346646133</v>
      </c>
      <c r="F45" s="9">
        <v>1.1536189082299304</v>
      </c>
      <c r="G45" s="9">
        <v>1.3444413438439027</v>
      </c>
      <c r="H45" s="9">
        <v>1.3720620386264819</v>
      </c>
      <c r="I45" s="9">
        <v>1.6536222526598652</v>
      </c>
      <c r="J45" s="9">
        <v>2.5106102233802203</v>
      </c>
      <c r="K45" s="9">
        <v>1.1053334375323933</v>
      </c>
      <c r="L45" s="9">
        <v>2.4679722485116184</v>
      </c>
      <c r="M45" s="7">
        <f t="shared" si="0"/>
        <v>0.99702175071536137</v>
      </c>
      <c r="N45" s="7">
        <f t="shared" si="1"/>
        <v>0.98923494717737415</v>
      </c>
      <c r="O45" s="9"/>
    </row>
    <row r="46" spans="1:15" x14ac:dyDescent="0.3">
      <c r="A46" s="7">
        <v>43</v>
      </c>
      <c r="B46" s="9" t="s">
        <v>59</v>
      </c>
      <c r="C46" s="9">
        <v>8.3329452364070571E-4</v>
      </c>
      <c r="D46" s="9">
        <v>4.5425965210525901E-2</v>
      </c>
      <c r="E46" s="9">
        <v>6.9840097569316322E-3</v>
      </c>
      <c r="F46" s="9">
        <v>9.5000271150888511E-3</v>
      </c>
      <c r="G46" s="9">
        <v>7.7947258476681949E-2</v>
      </c>
      <c r="H46" s="9">
        <v>7.293660213988337E-3</v>
      </c>
      <c r="I46" s="9">
        <v>3.1008171858071957E-3</v>
      </c>
      <c r="J46" s="9">
        <v>6.6851814176294311E-3</v>
      </c>
      <c r="K46" s="9">
        <v>4.1345643790294826E-3</v>
      </c>
      <c r="L46" s="9">
        <v>6.4662310239501336E-2</v>
      </c>
      <c r="M46" s="7">
        <f t="shared" si="0"/>
        <v>0.61039302450241306</v>
      </c>
      <c r="N46" s="7">
        <f t="shared" si="1"/>
        <v>0.57803267879932885</v>
      </c>
      <c r="O46" s="9"/>
    </row>
    <row r="47" spans="1:15" x14ac:dyDescent="0.3">
      <c r="A47" s="7">
        <v>44</v>
      </c>
      <c r="B47" s="9" t="s">
        <v>60</v>
      </c>
      <c r="C47" s="9">
        <v>1.1328856337675626</v>
      </c>
      <c r="D47" s="9">
        <v>0.85595812081804834</v>
      </c>
      <c r="E47" s="9">
        <v>1.1137326366288649</v>
      </c>
      <c r="F47" s="9">
        <v>0.80681221689394644</v>
      </c>
      <c r="G47" s="9">
        <v>1.1738349312331562</v>
      </c>
      <c r="H47" s="9">
        <v>1.1900939322504707</v>
      </c>
      <c r="I47" s="9">
        <v>1.276214584088339</v>
      </c>
      <c r="J47" s="9">
        <v>0.94248276189569002</v>
      </c>
      <c r="K47" s="9">
        <v>0.85562812441766711</v>
      </c>
      <c r="L47" s="9">
        <v>1.2699496076101144</v>
      </c>
      <c r="M47" s="7">
        <f t="shared" si="0"/>
        <v>1.0887518456406777</v>
      </c>
      <c r="N47" s="7">
        <f t="shared" si="1"/>
        <v>0.45962806279975232</v>
      </c>
      <c r="O47" s="9"/>
    </row>
    <row r="48" spans="1:15" x14ac:dyDescent="0.3">
      <c r="A48" s="7">
        <v>45</v>
      </c>
      <c r="B48" s="9" t="s">
        <v>61</v>
      </c>
      <c r="C48" s="9">
        <v>1.0045362249511798</v>
      </c>
      <c r="D48" s="9">
        <v>0.98032149360691745</v>
      </c>
      <c r="E48" s="9">
        <v>1.0795741763634945</v>
      </c>
      <c r="F48" s="9">
        <v>1.0752657388617317</v>
      </c>
      <c r="G48" s="9">
        <v>1.4332265068267389</v>
      </c>
      <c r="H48" s="9">
        <v>1.102897261614715</v>
      </c>
      <c r="I48" s="9">
        <v>0.75795739496681158</v>
      </c>
      <c r="J48" s="9">
        <v>0.72355803780983952</v>
      </c>
      <c r="K48" s="9">
        <v>0.7752861995704764</v>
      </c>
      <c r="L48" s="9">
        <v>0.80317865654840093</v>
      </c>
      <c r="M48" s="7">
        <f t="shared" si="0"/>
        <v>0.7469826334392804</v>
      </c>
      <c r="N48" s="7">
        <f t="shared" si="1"/>
        <v>2.9952821554298362E-2</v>
      </c>
      <c r="O48" s="9"/>
    </row>
    <row r="49" spans="1:15" x14ac:dyDescent="0.3">
      <c r="A49" s="7">
        <v>46</v>
      </c>
      <c r="B49" s="9" t="s">
        <v>62</v>
      </c>
      <c r="C49" s="9">
        <v>0.98587722445490522</v>
      </c>
      <c r="D49" s="9">
        <v>0.98115057582030263</v>
      </c>
      <c r="E49" s="9">
        <v>1.0866022798709463</v>
      </c>
      <c r="F49" s="9">
        <v>1.0788616908142168</v>
      </c>
      <c r="G49" s="9">
        <v>1.4347296650651025</v>
      </c>
      <c r="H49" s="9">
        <v>1.0821682608386811</v>
      </c>
      <c r="I49" s="9">
        <v>0.76219372833147692</v>
      </c>
      <c r="J49" s="9">
        <v>0.72557296305375174</v>
      </c>
      <c r="K49" s="9">
        <v>0.78492340224238888</v>
      </c>
      <c r="L49" s="9">
        <v>0.80320571154240739</v>
      </c>
      <c r="M49" s="7">
        <f t="shared" si="0"/>
        <v>0.74688318289297517</v>
      </c>
      <c r="N49" s="7">
        <f t="shared" si="1"/>
        <v>2.7812636750683902E-2</v>
      </c>
      <c r="O49" s="9"/>
    </row>
    <row r="50" spans="1:15" x14ac:dyDescent="0.3">
      <c r="A50" s="7">
        <v>47</v>
      </c>
      <c r="B50" s="9" t="s">
        <v>63</v>
      </c>
      <c r="C50" s="9">
        <v>0.99421924537080075</v>
      </c>
      <c r="D50" s="9">
        <v>0.97913804359985057</v>
      </c>
      <c r="E50" s="9">
        <v>1.0670682145890231</v>
      </c>
      <c r="F50" s="9">
        <v>1.0594798213208001</v>
      </c>
      <c r="G50" s="9">
        <v>1.4218369735111909</v>
      </c>
      <c r="H50" s="9">
        <v>1.1102696598036976</v>
      </c>
      <c r="I50" s="9">
        <v>0.77693308353557111</v>
      </c>
      <c r="J50" s="9">
        <v>0.73789952113536794</v>
      </c>
      <c r="K50" s="9">
        <v>0.77787323474922643</v>
      </c>
      <c r="L50" s="9">
        <v>0.80016118487480037</v>
      </c>
      <c r="M50" s="7">
        <f t="shared" si="0"/>
        <v>0.76119754544193841</v>
      </c>
      <c r="N50" s="7">
        <f t="shared" si="1"/>
        <v>3.7701842344696451E-2</v>
      </c>
      <c r="O50" s="9"/>
    </row>
    <row r="51" spans="1:15" x14ac:dyDescent="0.3">
      <c r="A51" s="7">
        <v>48</v>
      </c>
      <c r="B51" s="9" t="s">
        <v>64</v>
      </c>
      <c r="C51" s="9">
        <v>2.3104101858156221</v>
      </c>
      <c r="D51" s="9">
        <v>1.0936538311390438</v>
      </c>
      <c r="E51" s="9">
        <v>0.4130089695566499</v>
      </c>
      <c r="F51" s="9">
        <v>1.178561032167853</v>
      </c>
      <c r="G51" s="9">
        <v>1.0457551556545195</v>
      </c>
      <c r="H51" s="9">
        <v>0.86905451917710652</v>
      </c>
      <c r="I51" s="9">
        <v>1.2193592574580652</v>
      </c>
      <c r="J51" s="9">
        <v>1.0644424759150708</v>
      </c>
      <c r="K51" s="9">
        <v>1.159770021784164</v>
      </c>
      <c r="L51" s="9">
        <v>1.174096184197694</v>
      </c>
      <c r="M51" s="7">
        <f t="shared" si="0"/>
        <v>0.90818887845231999</v>
      </c>
      <c r="N51" s="7">
        <f t="shared" si="1"/>
        <v>0.73258065345211298</v>
      </c>
      <c r="O51" s="9"/>
    </row>
    <row r="52" spans="1:15" x14ac:dyDescent="0.3">
      <c r="A52" s="7">
        <v>49</v>
      </c>
      <c r="B52" s="9" t="s">
        <v>65</v>
      </c>
      <c r="C52" s="9">
        <v>2.4053097406557145</v>
      </c>
      <c r="D52" s="9">
        <v>1.2920839128360961</v>
      </c>
      <c r="E52" s="9">
        <v>1.7947364857301484</v>
      </c>
      <c r="F52" s="9">
        <v>1.1387880786879068</v>
      </c>
      <c r="G52" s="9">
        <v>1.2419075290542041</v>
      </c>
      <c r="H52" s="9">
        <v>0.96116685385297884</v>
      </c>
      <c r="I52" s="9">
        <v>1.261291507108713</v>
      </c>
      <c r="J52" s="9">
        <v>1.1341773983915124</v>
      </c>
      <c r="K52" s="9">
        <v>1.1988219274146867</v>
      </c>
      <c r="L52" s="9">
        <v>1.12180233469789</v>
      </c>
      <c r="M52" s="7">
        <f t="shared" si="0"/>
        <v>0.72112100584152439</v>
      </c>
      <c r="N52" s="7">
        <f t="shared" si="1"/>
        <v>0.10690682128566482</v>
      </c>
      <c r="O52" s="9"/>
    </row>
    <row r="53" spans="1:15" x14ac:dyDescent="0.3">
      <c r="A53" s="7">
        <v>50</v>
      </c>
      <c r="B53" s="9" t="s">
        <v>66</v>
      </c>
      <c r="C53" s="9">
        <v>0.99572828426730231</v>
      </c>
      <c r="D53" s="9">
        <v>0.98714852857595836</v>
      </c>
      <c r="E53" s="9">
        <v>1.0626540582538451</v>
      </c>
      <c r="F53" s="9">
        <v>1.0524758460260428</v>
      </c>
      <c r="G53" s="9">
        <v>1.4219057922838905</v>
      </c>
      <c r="H53" s="9">
        <v>1.0994759100514671</v>
      </c>
      <c r="I53" s="9">
        <v>0.74797659342444967</v>
      </c>
      <c r="J53" s="9">
        <v>0.73297473228912924</v>
      </c>
      <c r="K53" s="9">
        <v>0.7842429301499082</v>
      </c>
      <c r="L53" s="9">
        <v>0.80493210834164819</v>
      </c>
      <c r="M53" s="7">
        <f t="shared" si="0"/>
        <v>0.7553747033400916</v>
      </c>
      <c r="N53" s="7">
        <f t="shared" si="1"/>
        <v>3.3536887811245773E-2</v>
      </c>
      <c r="O53" s="9"/>
    </row>
    <row r="54" spans="1:15" x14ac:dyDescent="0.3">
      <c r="A54" s="7">
        <v>51</v>
      </c>
      <c r="B54" s="9" t="s">
        <v>67</v>
      </c>
      <c r="C54" s="9">
        <v>3.3737401473539208E-2</v>
      </c>
      <c r="D54" s="9">
        <v>0.25004171428632416</v>
      </c>
      <c r="E54" s="9">
        <v>2.1020614564505009E-2</v>
      </c>
      <c r="F54" s="9">
        <v>0.12167797202302688</v>
      </c>
      <c r="G54" s="9">
        <v>0.38149315668395145</v>
      </c>
      <c r="H54" s="9">
        <v>4.7902917020748011E-2</v>
      </c>
      <c r="I54" s="9">
        <v>0.22938678635200968</v>
      </c>
      <c r="J54" s="9">
        <v>1.8948185645974534E-2</v>
      </c>
      <c r="K54" s="9">
        <v>4.2464564351595166E-2</v>
      </c>
      <c r="L54" s="9">
        <v>9.2396039465454688E-2</v>
      </c>
      <c r="M54" s="7">
        <f t="shared" si="0"/>
        <v>0.53355698168695576</v>
      </c>
      <c r="N54" s="7">
        <f t="shared" si="1"/>
        <v>0.36337348184717905</v>
      </c>
      <c r="O54" s="9"/>
    </row>
    <row r="55" spans="1:15" x14ac:dyDescent="0.3">
      <c r="A55" s="7">
        <v>52</v>
      </c>
      <c r="B55" s="9" t="s">
        <v>68</v>
      </c>
      <c r="C55" s="9">
        <v>0.10169181018714817</v>
      </c>
      <c r="D55" s="9">
        <v>0.2144928404012871</v>
      </c>
      <c r="E55" s="9">
        <v>0.10715349160503039</v>
      </c>
      <c r="F55" s="9">
        <v>0.12576570643150456</v>
      </c>
      <c r="G55" s="9">
        <v>0.61723996451307028</v>
      </c>
      <c r="H55" s="9">
        <v>0.2397954246619354</v>
      </c>
      <c r="I55" s="9">
        <v>7.8838309284126176E-2</v>
      </c>
      <c r="J55" s="9">
        <v>0.10256957627616753</v>
      </c>
      <c r="K55" s="9">
        <v>0.13836016164928286</v>
      </c>
      <c r="L55" s="9">
        <v>0.22386953688589817</v>
      </c>
      <c r="M55" s="7">
        <f t="shared" si="0"/>
        <v>0.67169988808839198</v>
      </c>
      <c r="N55" s="7">
        <f t="shared" si="1"/>
        <v>0.47956045834926786</v>
      </c>
      <c r="O55" s="9"/>
    </row>
    <row r="56" spans="1:15" x14ac:dyDescent="0.3">
      <c r="A56" s="7">
        <v>53</v>
      </c>
      <c r="B56" s="9" t="s">
        <v>69</v>
      </c>
      <c r="C56" s="9">
        <v>0.13836215912157868</v>
      </c>
      <c r="D56" s="9">
        <v>1.9538394266536707</v>
      </c>
      <c r="E56" s="9">
        <v>0.22079442855704337</v>
      </c>
      <c r="F56" s="9">
        <v>0.27794651661767145</v>
      </c>
      <c r="G56" s="9">
        <v>2.0134905827373299</v>
      </c>
      <c r="H56" s="9">
        <v>3.2635002819349127E-2</v>
      </c>
      <c r="I56" s="9">
        <v>0.14522553417905182</v>
      </c>
      <c r="J56" s="9">
        <v>0.15378008474753099</v>
      </c>
      <c r="K56" s="9">
        <v>0.11023794499342979</v>
      </c>
      <c r="L56" s="9">
        <v>1.7031288027906424</v>
      </c>
      <c r="M56" s="7">
        <f t="shared" si="0"/>
        <v>0.46585699402466768</v>
      </c>
      <c r="N56" s="7">
        <f t="shared" si="1"/>
        <v>0.38831134716885141</v>
      </c>
      <c r="O56" s="9"/>
    </row>
    <row r="57" spans="1:15" x14ac:dyDescent="0.3">
      <c r="A57" s="7">
        <v>54</v>
      </c>
      <c r="B57" s="9" t="s">
        <v>70</v>
      </c>
      <c r="C57" s="9">
        <v>1.9571735511474218</v>
      </c>
      <c r="D57" s="9">
        <v>1.066801238844203</v>
      </c>
      <c r="E57" s="9">
        <v>1.812222031543796</v>
      </c>
      <c r="F57" s="9">
        <v>1.5105469739782575</v>
      </c>
      <c r="G57" s="9">
        <v>1.0619300787815915</v>
      </c>
      <c r="H57" s="9">
        <v>2.3214726873619225</v>
      </c>
      <c r="I57" s="9">
        <v>2.1388248451380378</v>
      </c>
      <c r="J57" s="9">
        <v>1.9202450498278272</v>
      </c>
      <c r="K57" s="9">
        <v>2.5173405035063143</v>
      </c>
      <c r="L57" s="9">
        <v>1.8856247156400001</v>
      </c>
      <c r="M57" s="7">
        <f t="shared" si="0"/>
        <v>1.4555246977313945</v>
      </c>
      <c r="N57" s="7">
        <f t="shared" si="1"/>
        <v>1.5520759692686563E-2</v>
      </c>
      <c r="O57" s="9"/>
    </row>
    <row r="58" spans="1:15" s="13" customFormat="1" x14ac:dyDescent="0.3">
      <c r="A58" s="13">
        <v>55</v>
      </c>
      <c r="B58" s="14" t="s">
        <v>71</v>
      </c>
      <c r="C58" s="14">
        <v>3.6260380464691613</v>
      </c>
      <c r="D58" s="14">
        <v>1.1339573213719645</v>
      </c>
      <c r="E58" s="14">
        <v>2.0055271946092419</v>
      </c>
      <c r="F58" s="14">
        <v>2.1206171455047809</v>
      </c>
      <c r="G58" s="14">
        <v>0.14592046624791946</v>
      </c>
      <c r="H58" s="14">
        <v>0.57314921000162111</v>
      </c>
      <c r="I58" s="14">
        <v>0.83979747559855245</v>
      </c>
      <c r="J58" s="14">
        <v>0.91056453775432022</v>
      </c>
      <c r="K58" s="14">
        <v>0.57192767624039242</v>
      </c>
      <c r="L58" s="14">
        <v>0.39808497833797918</v>
      </c>
      <c r="M58" s="13">
        <f t="shared" si="0"/>
        <v>0.36464813280802416</v>
      </c>
      <c r="N58" s="13">
        <f t="shared" si="1"/>
        <v>8.5281695668320084E-2</v>
      </c>
      <c r="O58" s="14"/>
    </row>
    <row r="59" spans="1:15" s="13" customFormat="1" x14ac:dyDescent="0.3">
      <c r="A59" s="13">
        <v>56</v>
      </c>
      <c r="B59" s="14" t="s">
        <v>72</v>
      </c>
      <c r="C59" s="14">
        <v>3.2340446692111682</v>
      </c>
      <c r="D59" s="14">
        <v>1.0011704286523482</v>
      </c>
      <c r="E59" s="14">
        <v>1.8212255076496997</v>
      </c>
      <c r="F59" s="14">
        <v>1.8753366405516338</v>
      </c>
      <c r="G59" s="14">
        <v>0.31648670052923922</v>
      </c>
      <c r="H59" s="14">
        <v>0.66601397420921149</v>
      </c>
      <c r="I59" s="14">
        <v>0.82001683326030528</v>
      </c>
      <c r="J59" s="14">
        <v>0.85268063899109114</v>
      </c>
      <c r="K59" s="14">
        <v>0.69164203728517548</v>
      </c>
      <c r="L59" s="14">
        <v>0.42956277533941234</v>
      </c>
      <c r="M59" s="13">
        <f t="shared" si="0"/>
        <v>0.41947205878564064</v>
      </c>
      <c r="N59" s="13">
        <f t="shared" si="1"/>
        <v>8.9068258623433538E-2</v>
      </c>
      <c r="O59" s="14"/>
    </row>
    <row r="60" spans="1:15" x14ac:dyDescent="0.3">
      <c r="A60" s="7">
        <v>57</v>
      </c>
      <c r="B60" s="9" t="s">
        <v>73</v>
      </c>
      <c r="C60" s="9">
        <v>2.8617116625500434</v>
      </c>
      <c r="D60" s="9">
        <v>0.9229901088986745</v>
      </c>
      <c r="E60" s="9">
        <v>1.4663884741314681</v>
      </c>
      <c r="F60" s="9">
        <v>1.9388068736022845</v>
      </c>
      <c r="G60" s="9">
        <v>0.44819325389854531</v>
      </c>
      <c r="H60" s="9">
        <v>1.0938068843642783</v>
      </c>
      <c r="I60" s="9">
        <v>0.88050542934214271</v>
      </c>
      <c r="J60" s="9">
        <v>1.0612785194636334</v>
      </c>
      <c r="K60" s="9">
        <v>0.98509167891301186</v>
      </c>
      <c r="L60" s="9">
        <v>0.47571459795654242</v>
      </c>
      <c r="M60" s="7">
        <f t="shared" si="0"/>
        <v>0.58868079459838518</v>
      </c>
      <c r="N60" s="7">
        <f t="shared" si="1"/>
        <v>0.18400305091110164</v>
      </c>
      <c r="O60" s="9"/>
    </row>
    <row r="61" spans="1:15" x14ac:dyDescent="0.3">
      <c r="A61" s="7">
        <v>58</v>
      </c>
      <c r="B61" s="9" t="s">
        <v>74</v>
      </c>
      <c r="C61" s="9">
        <v>3.3913975424881952</v>
      </c>
      <c r="D61" s="9">
        <v>1.0163415394840534</v>
      </c>
      <c r="E61" s="9">
        <v>1.8394317309497059</v>
      </c>
      <c r="F61" s="9">
        <v>1.8762557666770838</v>
      </c>
      <c r="G61" s="9">
        <v>0.19981410204959413</v>
      </c>
      <c r="H61" s="9">
        <v>0.63297677290188636</v>
      </c>
      <c r="I61" s="9">
        <v>0.79569701275732529</v>
      </c>
      <c r="J61" s="9">
        <v>0.83343271337461688</v>
      </c>
      <c r="K61" s="9">
        <v>0.58891046533306435</v>
      </c>
      <c r="L61" s="9">
        <v>0.39269101983595228</v>
      </c>
      <c r="M61" s="7">
        <f t="shared" si="0"/>
        <v>0.38971695139787133</v>
      </c>
      <c r="N61" s="7">
        <f t="shared" si="1"/>
        <v>9.4696555235200167E-2</v>
      </c>
      <c r="O61" s="9"/>
    </row>
    <row r="62" spans="1:15" x14ac:dyDescent="0.3">
      <c r="A62" s="7">
        <v>59</v>
      </c>
      <c r="B62" s="9" t="s">
        <v>75</v>
      </c>
      <c r="C62" s="9">
        <v>3.4317551332923832</v>
      </c>
      <c r="D62" s="9">
        <v>1.0276738807113488</v>
      </c>
      <c r="E62" s="9">
        <v>1.8407407906347268</v>
      </c>
      <c r="F62" s="9">
        <v>1.8787604894555558</v>
      </c>
      <c r="G62" s="9">
        <v>0.20311113109820847</v>
      </c>
      <c r="H62" s="9">
        <v>0.63817199588573137</v>
      </c>
      <c r="I62" s="9">
        <v>0.78841229012299896</v>
      </c>
      <c r="J62" s="9">
        <v>0.84020584424372269</v>
      </c>
      <c r="K62" s="9">
        <v>0.59499015383197096</v>
      </c>
      <c r="L62" s="9">
        <v>0.39414442459847471</v>
      </c>
      <c r="M62" s="7">
        <f t="shared" si="0"/>
        <v>0.38844054133366829</v>
      </c>
      <c r="N62" s="7">
        <f t="shared" si="1"/>
        <v>9.4945965442652019E-2</v>
      </c>
      <c r="O62" s="9"/>
    </row>
    <row r="63" spans="1:15" x14ac:dyDescent="0.3">
      <c r="A63" s="7">
        <v>60</v>
      </c>
      <c r="B63" s="9" t="s">
        <v>76</v>
      </c>
      <c r="C63" s="9">
        <v>1.3670622116943623</v>
      </c>
      <c r="D63" s="9">
        <v>1.2597774499640768</v>
      </c>
      <c r="E63" s="9">
        <v>0.86710448276518859</v>
      </c>
      <c r="F63" s="9">
        <v>1.0130407310389387</v>
      </c>
      <c r="G63" s="9">
        <v>3.1907562365077888</v>
      </c>
      <c r="H63" s="9">
        <v>0.86607684369617266</v>
      </c>
      <c r="I63" s="9">
        <v>0.97409647024403445</v>
      </c>
      <c r="J63" s="9">
        <v>1.0870704919680909</v>
      </c>
      <c r="K63" s="9">
        <v>1.0495094371372611</v>
      </c>
      <c r="L63" s="9">
        <v>1.1661017698898093</v>
      </c>
      <c r="M63" s="7">
        <f t="shared" si="0"/>
        <v>0.66809924341804405</v>
      </c>
      <c r="N63" s="7">
        <f t="shared" si="1"/>
        <v>0.26384005063626553</v>
      </c>
      <c r="O63" s="9"/>
    </row>
    <row r="64" spans="1:15" x14ac:dyDescent="0.3">
      <c r="A64" s="7">
        <v>61</v>
      </c>
      <c r="B64" s="9" t="s">
        <v>77</v>
      </c>
      <c r="C64" s="9">
        <v>0.38361007347089149</v>
      </c>
      <c r="D64" s="9">
        <v>1.4619256938041663</v>
      </c>
      <c r="E64" s="9">
        <v>0.15803080176427151</v>
      </c>
      <c r="F64" s="9">
        <v>0.1666067768731595</v>
      </c>
      <c r="G64" s="9">
        <v>3.1678340230260704</v>
      </c>
      <c r="H64" s="9">
        <v>0.1861192724713501</v>
      </c>
      <c r="I64" s="9">
        <v>0.2216513279274358</v>
      </c>
      <c r="J64" s="9">
        <v>0.24425492884145378</v>
      </c>
      <c r="K64" s="9">
        <v>0.36735765231660628</v>
      </c>
      <c r="L64" s="9">
        <v>1.9729760885252718</v>
      </c>
      <c r="M64" s="7">
        <f t="shared" si="0"/>
        <v>0.56057608453192087</v>
      </c>
      <c r="N64" s="7">
        <f t="shared" si="1"/>
        <v>0.50539200081541114</v>
      </c>
      <c r="O64" s="9"/>
    </row>
    <row r="65" spans="1:15" x14ac:dyDescent="0.3">
      <c r="A65" s="7">
        <v>62</v>
      </c>
      <c r="B65" s="9" t="s">
        <v>78</v>
      </c>
      <c r="C65" s="9">
        <v>0.54348544958054046</v>
      </c>
      <c r="D65" s="9">
        <v>1.2910872541851106</v>
      </c>
      <c r="E65" s="9">
        <v>0.3394730298318635</v>
      </c>
      <c r="F65" s="9">
        <v>0.34259964536888587</v>
      </c>
      <c r="G65" s="9">
        <v>0.51141330654152251</v>
      </c>
      <c r="H65" s="9">
        <v>0.89175798517557758</v>
      </c>
      <c r="I65" s="9">
        <v>0.97601044084352773</v>
      </c>
      <c r="J65" s="9">
        <v>1.1457157091047647</v>
      </c>
      <c r="K65" s="9">
        <v>0.41451297259637038</v>
      </c>
      <c r="L65" s="9">
        <v>1.2612243475358669</v>
      </c>
      <c r="M65" s="7">
        <f t="shared" si="0"/>
        <v>1.5485900183171462</v>
      </c>
      <c r="N65" s="7">
        <f t="shared" si="1"/>
        <v>0.18470850633059221</v>
      </c>
      <c r="O65" s="9"/>
    </row>
    <row r="66" spans="1:15" x14ac:dyDescent="0.3">
      <c r="A66" s="7">
        <v>63</v>
      </c>
      <c r="B66" s="9" t="s">
        <v>79</v>
      </c>
      <c r="C66" s="9">
        <v>1.2872115365307044</v>
      </c>
      <c r="D66" s="9">
        <v>0.80491412192989453</v>
      </c>
      <c r="E66" s="9">
        <v>0.72270958067626478</v>
      </c>
      <c r="F66" s="9">
        <v>0.6248536384843304</v>
      </c>
      <c r="G66" s="9">
        <v>0.73695901620796833</v>
      </c>
      <c r="H66" s="9">
        <v>1.1443480540042417</v>
      </c>
      <c r="I66" s="9">
        <v>1.498398844856353</v>
      </c>
      <c r="J66" s="9">
        <v>1.2232057567216017</v>
      </c>
      <c r="K66" s="9">
        <v>0.90023875907318751</v>
      </c>
      <c r="L66" s="9">
        <v>1.4390130228392946</v>
      </c>
      <c r="M66" s="7">
        <f t="shared" si="0"/>
        <v>1.4856901025012501</v>
      </c>
      <c r="N66" s="7">
        <f t="shared" si="1"/>
        <v>3.3740108120962745E-2</v>
      </c>
      <c r="O66" s="9"/>
    </row>
    <row r="67" spans="1:15" x14ac:dyDescent="0.3">
      <c r="A67" s="7">
        <v>64</v>
      </c>
      <c r="B67" s="9" t="s">
        <v>80</v>
      </c>
      <c r="C67" s="9">
        <v>1.3168681314706032</v>
      </c>
      <c r="D67" s="9">
        <v>0.83849583897479962</v>
      </c>
      <c r="E67" s="9">
        <v>0.80171834659555974</v>
      </c>
      <c r="F67" s="9">
        <v>0.65494960745357866</v>
      </c>
      <c r="G67" s="9">
        <v>0.79861490263076051</v>
      </c>
      <c r="H67" s="9">
        <v>1.1222396426578067</v>
      </c>
      <c r="I67" s="9">
        <v>1.4927075285148645</v>
      </c>
      <c r="J67" s="9">
        <v>1.338810726563878</v>
      </c>
      <c r="K67" s="9">
        <v>0.9321159402087299</v>
      </c>
      <c r="L67" s="9">
        <v>1.5611874920396891</v>
      </c>
      <c r="M67" s="7">
        <f t="shared" si="0"/>
        <v>1.4617042766461825</v>
      </c>
      <c r="N67" s="7">
        <f t="shared" si="1"/>
        <v>3.6722230239990737E-2</v>
      </c>
      <c r="O67" s="9"/>
    </row>
    <row r="68" spans="1:15" x14ac:dyDescent="0.3">
      <c r="A68" s="7">
        <v>65</v>
      </c>
      <c r="B68" s="9" t="s">
        <v>81</v>
      </c>
      <c r="C68" s="9">
        <v>1.2882719031991725</v>
      </c>
      <c r="D68" s="9">
        <v>0.79145821112387216</v>
      </c>
      <c r="E68" s="9">
        <v>0.69343909722201524</v>
      </c>
      <c r="F68" s="9">
        <v>0.59371819088144784</v>
      </c>
      <c r="G68" s="9">
        <v>0.66529160838880297</v>
      </c>
      <c r="H68" s="9">
        <v>1.0838116141595096</v>
      </c>
      <c r="I68" s="9">
        <v>1.3951181868127915</v>
      </c>
      <c r="J68" s="9">
        <v>1.2015682889074757</v>
      </c>
      <c r="K68" s="9">
        <v>0.85143749036987038</v>
      </c>
      <c r="L68" s="9">
        <v>1.3484503214391683</v>
      </c>
      <c r="M68" s="7">
        <f t="shared" si="0"/>
        <v>1.4583642953143086</v>
      </c>
      <c r="N68" s="7">
        <f t="shared" si="1"/>
        <v>4.8024862268717675E-2</v>
      </c>
      <c r="O68" s="9"/>
    </row>
    <row r="69" spans="1:15" x14ac:dyDescent="0.3">
      <c r="A69" s="7">
        <v>66</v>
      </c>
      <c r="B69" s="9" t="s">
        <v>82</v>
      </c>
      <c r="C69" s="9">
        <v>1.3263628725957777</v>
      </c>
      <c r="D69" s="9">
        <v>0.82187453899477769</v>
      </c>
      <c r="E69" s="9">
        <v>0.73893190398926156</v>
      </c>
      <c r="F69" s="9">
        <v>0.63851614673955659</v>
      </c>
      <c r="G69" s="9">
        <v>0.70696953326230094</v>
      </c>
      <c r="H69" s="9">
        <v>1.1799131914607606</v>
      </c>
      <c r="I69" s="9">
        <v>1.4108654817541462</v>
      </c>
      <c r="J69" s="9">
        <v>1.1717825028103239</v>
      </c>
      <c r="K69" s="9">
        <v>0.90980954151716265</v>
      </c>
      <c r="L69" s="9">
        <v>1.4790581754379348</v>
      </c>
      <c r="M69" s="7">
        <f t="shared" ref="M69:M112" si="2">AVERAGE(H69:L69)/AVERAGE(C69:G69)</f>
        <v>1.4533263163195673</v>
      </c>
      <c r="N69" s="7">
        <f t="shared" ref="N69:N112" si="3">_xlfn.T.TEST(C69:G69,H69:L69,2,2)</f>
        <v>4.2700883048195144E-2</v>
      </c>
      <c r="O69" s="9"/>
    </row>
    <row r="70" spans="1:15" x14ac:dyDescent="0.3">
      <c r="A70" s="7">
        <v>67</v>
      </c>
      <c r="B70" s="9" t="s">
        <v>83</v>
      </c>
      <c r="C70" s="9">
        <v>1.6492531767296867</v>
      </c>
      <c r="D70" s="9">
        <v>1.2604041910824328</v>
      </c>
      <c r="E70" s="9">
        <v>1.0011092284105099</v>
      </c>
      <c r="F70" s="9">
        <v>0.9311548473044815</v>
      </c>
      <c r="G70" s="9">
        <v>0.99824750021115249</v>
      </c>
      <c r="H70" s="9">
        <v>1.0791858172490831</v>
      </c>
      <c r="I70" s="9">
        <v>1.2374546618301743</v>
      </c>
      <c r="J70" s="9">
        <v>1.2848951599970186</v>
      </c>
      <c r="K70" s="9">
        <v>1.1175648258443023</v>
      </c>
      <c r="L70" s="9">
        <v>1.5660123361996003</v>
      </c>
      <c r="M70" s="7">
        <f t="shared" si="2"/>
        <v>1.0761868126878378</v>
      </c>
      <c r="N70" s="7">
        <f t="shared" si="3"/>
        <v>0.58920661682289399</v>
      </c>
      <c r="O70" s="9"/>
    </row>
    <row r="71" spans="1:15" x14ac:dyDescent="0.3">
      <c r="A71" s="7">
        <v>68</v>
      </c>
      <c r="B71" s="9" t="s">
        <v>84</v>
      </c>
      <c r="C71" s="9">
        <v>0.95394793327195149</v>
      </c>
      <c r="D71" s="9">
        <v>0.65090960360034755</v>
      </c>
      <c r="E71" s="9">
        <v>0.54912489624326166</v>
      </c>
      <c r="F71" s="9">
        <v>0.44714268685715214</v>
      </c>
      <c r="G71" s="9">
        <v>0.49194936440378356</v>
      </c>
      <c r="H71" s="9">
        <v>0.8364995001066422</v>
      </c>
      <c r="I71" s="9">
        <v>1.0188708868312173</v>
      </c>
      <c r="J71" s="9">
        <v>0.95359404642448331</v>
      </c>
      <c r="K71" s="9">
        <v>0.65965044441756082</v>
      </c>
      <c r="L71" s="9">
        <v>1.1062500148873451</v>
      </c>
      <c r="M71" s="7">
        <f t="shared" si="2"/>
        <v>1.4790671598034448</v>
      </c>
      <c r="N71" s="7">
        <f t="shared" si="3"/>
        <v>3.7696036620705677E-2</v>
      </c>
      <c r="O71" s="9"/>
    </row>
    <row r="72" spans="1:15" x14ac:dyDescent="0.3">
      <c r="A72" s="7">
        <v>69</v>
      </c>
      <c r="B72" s="9" t="s">
        <v>85</v>
      </c>
      <c r="C72" s="9">
        <v>1.5849485037894158</v>
      </c>
      <c r="D72" s="9">
        <v>1.2463421867387707</v>
      </c>
      <c r="E72" s="9">
        <v>0.98186550697397956</v>
      </c>
      <c r="F72" s="9">
        <v>0.89455477374666692</v>
      </c>
      <c r="G72" s="9">
        <v>0.95003240092955732</v>
      </c>
      <c r="H72" s="9">
        <v>1.099142738144415</v>
      </c>
      <c r="I72" s="9">
        <v>1.2167933687924133</v>
      </c>
      <c r="J72" s="9">
        <v>1.3147694820150486</v>
      </c>
      <c r="K72" s="9">
        <v>1.0604516596762958</v>
      </c>
      <c r="L72" s="9">
        <v>1.513887328340578</v>
      </c>
      <c r="M72" s="7">
        <f t="shared" si="2"/>
        <v>1.0967348938945662</v>
      </c>
      <c r="N72" s="7">
        <f t="shared" si="3"/>
        <v>0.49258123226563943</v>
      </c>
      <c r="O72" s="9"/>
    </row>
    <row r="73" spans="1:15" x14ac:dyDescent="0.3">
      <c r="A73" s="7">
        <v>70</v>
      </c>
      <c r="B73" s="9" t="s">
        <v>86</v>
      </c>
      <c r="C73" s="9">
        <v>1.6413395365207326</v>
      </c>
      <c r="D73" s="9">
        <v>1.1757003569305384</v>
      </c>
      <c r="E73" s="9">
        <v>1.0223047540947856</v>
      </c>
      <c r="F73" s="9">
        <v>0.93108256721376736</v>
      </c>
      <c r="G73" s="9">
        <v>1.0119331549894599</v>
      </c>
      <c r="H73" s="9">
        <v>1.0773624252979996</v>
      </c>
      <c r="I73" s="9">
        <v>1.1808828941029481</v>
      </c>
      <c r="J73" s="9">
        <v>1.3183789765533414</v>
      </c>
      <c r="K73" s="9">
        <v>1.1258156843819576</v>
      </c>
      <c r="L73" s="9">
        <v>1.5702731921885773</v>
      </c>
      <c r="M73" s="7">
        <f t="shared" si="2"/>
        <v>1.0848014947910971</v>
      </c>
      <c r="N73" s="7">
        <f t="shared" si="3"/>
        <v>0.54531492879303722</v>
      </c>
      <c r="O73" s="9"/>
    </row>
    <row r="74" spans="1:15" x14ac:dyDescent="0.3">
      <c r="A74" s="7">
        <v>71</v>
      </c>
      <c r="B74" s="9" t="s">
        <v>87</v>
      </c>
      <c r="C74" s="9">
        <v>1.6035024127814612</v>
      </c>
      <c r="D74" s="9">
        <v>1.1814262896279299</v>
      </c>
      <c r="E74" s="9">
        <v>1.086308605088119</v>
      </c>
      <c r="F74" s="9">
        <v>0.90063707055317999</v>
      </c>
      <c r="G74" s="9">
        <v>1.0443653050469512</v>
      </c>
      <c r="H74" s="9">
        <v>0.98978488994387614</v>
      </c>
      <c r="I74" s="9">
        <v>1.1319803036843397</v>
      </c>
      <c r="J74" s="9">
        <v>1.254771437222993</v>
      </c>
      <c r="K74" s="9">
        <v>1.1560568343239837</v>
      </c>
      <c r="L74" s="9">
        <v>1.5903349409694363</v>
      </c>
      <c r="M74" s="7">
        <f t="shared" si="2"/>
        <v>1.0527297256917116</v>
      </c>
      <c r="N74" s="7">
        <f t="shared" si="3"/>
        <v>0.7043167496296846</v>
      </c>
      <c r="O74" s="9"/>
    </row>
    <row r="75" spans="1:15" x14ac:dyDescent="0.3">
      <c r="A75" s="7">
        <v>72</v>
      </c>
      <c r="B75" s="9" t="s">
        <v>88</v>
      </c>
      <c r="C75" s="9">
        <v>1.5839804051515107</v>
      </c>
      <c r="D75" s="9">
        <v>1.2064396270375251</v>
      </c>
      <c r="E75" s="9">
        <v>0.99882898602164971</v>
      </c>
      <c r="F75" s="9">
        <v>0.90763467106303719</v>
      </c>
      <c r="G75" s="9">
        <v>1.13086767200303</v>
      </c>
      <c r="H75" s="9">
        <v>1.0151192282782755</v>
      </c>
      <c r="I75" s="9">
        <v>1.2896870043065898</v>
      </c>
      <c r="J75" s="9">
        <v>1.3075400777615651</v>
      </c>
      <c r="K75" s="9">
        <v>1.1313234695195433</v>
      </c>
      <c r="L75" s="9">
        <v>1.5053010772994713</v>
      </c>
      <c r="M75" s="7">
        <f t="shared" si="2"/>
        <v>1.0722782201532379</v>
      </c>
      <c r="N75" s="7">
        <f t="shared" si="3"/>
        <v>0.57323499244947651</v>
      </c>
      <c r="O75" s="9"/>
    </row>
    <row r="76" spans="1:15" x14ac:dyDescent="0.3">
      <c r="A76" s="7">
        <v>73</v>
      </c>
      <c r="B76" s="9" t="s">
        <v>89</v>
      </c>
      <c r="C76" s="9">
        <v>1.6027513560769353</v>
      </c>
      <c r="D76" s="9">
        <v>1.2248300750935346</v>
      </c>
      <c r="E76" s="9">
        <v>0.98924376694218952</v>
      </c>
      <c r="F76" s="9">
        <v>0.92516100725703521</v>
      </c>
      <c r="G76" s="9">
        <v>1.0050009464389988</v>
      </c>
      <c r="H76" s="9">
        <v>1.0305603396185881</v>
      </c>
      <c r="I76" s="9">
        <v>1.1751814136879519</v>
      </c>
      <c r="J76" s="9">
        <v>1.2560535569817191</v>
      </c>
      <c r="K76" s="9">
        <v>1.0745108243715784</v>
      </c>
      <c r="L76" s="9">
        <v>1.5407474939130592</v>
      </c>
      <c r="M76" s="7">
        <f t="shared" si="2"/>
        <v>1.0574329588783447</v>
      </c>
      <c r="N76" s="7">
        <f t="shared" si="3"/>
        <v>0.67847208989664665</v>
      </c>
      <c r="O76" s="9"/>
    </row>
    <row r="77" spans="1:15" x14ac:dyDescent="0.3">
      <c r="A77" s="7">
        <v>74</v>
      </c>
      <c r="B77" s="9" t="s">
        <v>90</v>
      </c>
      <c r="C77" s="9">
        <v>0.1179862723061192</v>
      </c>
      <c r="D77" s="9">
        <v>0.15556862186892961</v>
      </c>
      <c r="E77" s="9">
        <v>2.1302595246065197E-2</v>
      </c>
      <c r="F77" s="9">
        <v>5.8228958526385662E-2</v>
      </c>
      <c r="G77" s="9">
        <v>1.8487528362777578E-2</v>
      </c>
      <c r="H77" s="9">
        <v>1.9228504430543927E-2</v>
      </c>
      <c r="I77" s="9">
        <v>0.10225420778274673</v>
      </c>
      <c r="J77" s="9">
        <v>0.12486600211634141</v>
      </c>
      <c r="K77" s="9">
        <v>5.2150622402426357E-2</v>
      </c>
      <c r="L77" s="9">
        <v>0.16749610756295338</v>
      </c>
      <c r="M77" s="7">
        <f t="shared" si="2"/>
        <v>1.2541121660949941</v>
      </c>
      <c r="N77" s="7">
        <f t="shared" si="3"/>
        <v>0.63010603824748146</v>
      </c>
      <c r="O77" s="9"/>
    </row>
    <row r="78" spans="1:15" x14ac:dyDescent="0.3">
      <c r="A78" s="7">
        <v>75</v>
      </c>
      <c r="B78" s="9" t="s">
        <v>91</v>
      </c>
      <c r="C78" s="9">
        <v>1.6982311149325851</v>
      </c>
      <c r="D78" s="9">
        <v>2.3053247149054599</v>
      </c>
      <c r="E78" s="9">
        <v>1.8097014217690666</v>
      </c>
      <c r="F78" s="9">
        <v>1.8496894222749232</v>
      </c>
      <c r="G78" s="9">
        <v>1.309624326026225</v>
      </c>
      <c r="H78" s="9">
        <v>1.4660196004402355</v>
      </c>
      <c r="I78" s="9">
        <v>0.94143320449570211</v>
      </c>
      <c r="J78" s="9">
        <v>1.4107187410144957</v>
      </c>
      <c r="K78" s="9">
        <v>0.93572055839206625</v>
      </c>
      <c r="L78" s="9">
        <v>0.32618649045865383</v>
      </c>
      <c r="M78" s="7">
        <f t="shared" si="2"/>
        <v>0.56617870116080382</v>
      </c>
      <c r="N78" s="7">
        <f t="shared" si="3"/>
        <v>1.7302932972369116E-2</v>
      </c>
      <c r="O78" s="9"/>
    </row>
    <row r="79" spans="1:15" x14ac:dyDescent="0.3">
      <c r="A79" s="7">
        <v>76</v>
      </c>
      <c r="B79" s="9" t="s">
        <v>92</v>
      </c>
      <c r="C79" s="9">
        <v>0.15770292410341297</v>
      </c>
      <c r="D79" s="9">
        <v>0.12063763053582024</v>
      </c>
      <c r="E79" s="9">
        <v>8.2812997744089498E-2</v>
      </c>
      <c r="F79" s="9">
        <v>9.0290017868390332E-2</v>
      </c>
      <c r="G79" s="9">
        <v>0.11809012871966151</v>
      </c>
      <c r="H79" s="9">
        <v>0.15494460420520226</v>
      </c>
      <c r="I79" s="9">
        <v>0.13582421915832998</v>
      </c>
      <c r="J79" s="9">
        <v>8.9113983940789496E-2</v>
      </c>
      <c r="K79" s="9">
        <v>7.7026857874225862E-2</v>
      </c>
      <c r="L79" s="9">
        <v>5.0791259701007375E-2</v>
      </c>
      <c r="M79" s="7">
        <f t="shared" si="2"/>
        <v>0.8914326330408634</v>
      </c>
      <c r="N79" s="7">
        <f t="shared" si="3"/>
        <v>0.61009812997745594</v>
      </c>
      <c r="O79" s="9"/>
    </row>
    <row r="80" spans="1:15" x14ac:dyDescent="0.3">
      <c r="A80" s="7">
        <v>77</v>
      </c>
      <c r="B80" s="9" t="s">
        <v>93</v>
      </c>
      <c r="C80" s="9">
        <v>0.86939725926194722</v>
      </c>
      <c r="D80" s="9">
        <v>1.5853254209260856</v>
      </c>
      <c r="E80" s="9">
        <v>1.0872631525661316</v>
      </c>
      <c r="F80" s="9">
        <v>1.4346918752600366</v>
      </c>
      <c r="G80" s="9">
        <v>1.4533862517443865</v>
      </c>
      <c r="H80" s="9">
        <v>1.643952503570062</v>
      </c>
      <c r="I80" s="9">
        <v>0.922355904094321</v>
      </c>
      <c r="J80" s="9">
        <v>0.77513346541635941</v>
      </c>
      <c r="K80" s="9">
        <v>0.69680446031785248</v>
      </c>
      <c r="L80" s="9">
        <v>1.2809896264882878</v>
      </c>
      <c r="M80" s="7">
        <f t="shared" si="2"/>
        <v>0.82724464222694771</v>
      </c>
      <c r="N80" s="7">
        <f t="shared" si="3"/>
        <v>0.34366849485612672</v>
      </c>
      <c r="O80" s="9"/>
    </row>
    <row r="81" spans="1:15" x14ac:dyDescent="0.3">
      <c r="A81" s="7">
        <v>78</v>
      </c>
      <c r="B81" s="9" t="s">
        <v>94</v>
      </c>
      <c r="C81" s="9">
        <v>2.7321088314334925</v>
      </c>
      <c r="D81" s="9">
        <v>0.75872211023116132</v>
      </c>
      <c r="E81" s="9">
        <v>0.79254720417357516</v>
      </c>
      <c r="F81" s="9">
        <v>0.6934107614239845</v>
      </c>
      <c r="G81" s="9">
        <v>1.358326141416865</v>
      </c>
      <c r="H81" s="9">
        <v>0.24131062485893359</v>
      </c>
      <c r="I81" s="9">
        <v>0.97758192156070245</v>
      </c>
      <c r="J81" s="9">
        <v>0.84875026727080838</v>
      </c>
      <c r="K81" s="9">
        <v>0.92317697957569567</v>
      </c>
      <c r="L81" s="9">
        <v>0.74831656459028162</v>
      </c>
      <c r="M81" s="7">
        <f t="shared" si="2"/>
        <v>0.59022390739944997</v>
      </c>
      <c r="N81" s="7">
        <f t="shared" si="3"/>
        <v>0.23816588576510722</v>
      </c>
      <c r="O81" s="9"/>
    </row>
    <row r="82" spans="1:15" x14ac:dyDescent="0.3">
      <c r="A82" s="7">
        <v>79</v>
      </c>
      <c r="B82" s="9" t="s">
        <v>95</v>
      </c>
      <c r="C82" s="9">
        <v>2.5221109521582017</v>
      </c>
      <c r="D82" s="9">
        <v>2.0533124232391686</v>
      </c>
      <c r="E82" s="9">
        <v>1.1640509797891065</v>
      </c>
      <c r="F82" s="9">
        <v>1.4027410047534343</v>
      </c>
      <c r="G82" s="9">
        <v>0.54273300644662059</v>
      </c>
      <c r="H82" s="9">
        <v>1.4701346428830824</v>
      </c>
      <c r="I82" s="9">
        <v>1.317443001042057</v>
      </c>
      <c r="J82" s="9">
        <v>1.49016984972634</v>
      </c>
      <c r="K82" s="9">
        <v>1.7253083811570726</v>
      </c>
      <c r="L82" s="9">
        <v>2.2175780124264781</v>
      </c>
      <c r="M82" s="7">
        <f t="shared" si="2"/>
        <v>1.0697058061172608</v>
      </c>
      <c r="N82" s="7">
        <f t="shared" si="3"/>
        <v>0.78481429894393295</v>
      </c>
      <c r="O82" s="9"/>
    </row>
    <row r="83" spans="1:15" x14ac:dyDescent="0.3">
      <c r="A83" s="7">
        <v>80</v>
      </c>
      <c r="B83" s="9" t="s">
        <v>96</v>
      </c>
      <c r="C83" s="9">
        <v>0.76910966905866018</v>
      </c>
      <c r="D83" s="9">
        <v>9.8696307219798551E-2</v>
      </c>
      <c r="E83" s="9">
        <v>6.5173121443869123E-2</v>
      </c>
      <c r="F83" s="9">
        <v>0.11929559447548353</v>
      </c>
      <c r="G83" s="9">
        <v>0.36198709777641447</v>
      </c>
      <c r="H83" s="9">
        <v>0.10504562825558994</v>
      </c>
      <c r="I83" s="9">
        <v>5.223383970815712E-2</v>
      </c>
      <c r="J83" s="9">
        <v>0.17697349648056879</v>
      </c>
      <c r="K83" s="9">
        <v>0.17721035877504113</v>
      </c>
      <c r="L83" s="9">
        <v>0.109083299578699</v>
      </c>
      <c r="M83" s="7">
        <f t="shared" si="2"/>
        <v>0.43877776179568923</v>
      </c>
      <c r="N83" s="7">
        <f t="shared" si="3"/>
        <v>0.27200066981803322</v>
      </c>
      <c r="O83" s="9"/>
    </row>
    <row r="84" spans="1:15" x14ac:dyDescent="0.3">
      <c r="A84" s="7">
        <v>81</v>
      </c>
      <c r="B84" s="9" t="s">
        <v>97</v>
      </c>
      <c r="C84" s="9">
        <v>0.11457697955441105</v>
      </c>
      <c r="D84" s="9">
        <v>3.2782981484291815E-3</v>
      </c>
      <c r="E84" s="9">
        <v>2.8908181794435159E-3</v>
      </c>
      <c r="F84" s="9">
        <v>4.0753902369020959E-3</v>
      </c>
      <c r="G84" s="9">
        <v>5.1803985386049212E-3</v>
      </c>
      <c r="H84" s="9">
        <v>1.293519724067491E-2</v>
      </c>
      <c r="I84" s="9">
        <v>4.0462230722063761E-3</v>
      </c>
      <c r="J84" s="9">
        <v>6.1123269072560646E-2</v>
      </c>
      <c r="K84" s="9">
        <v>1.9499504807128126E-2</v>
      </c>
      <c r="L84" s="9">
        <v>1.2212692945258561E-2</v>
      </c>
      <c r="M84" s="7">
        <f t="shared" si="2"/>
        <v>0.84473303927019261</v>
      </c>
      <c r="N84" s="7">
        <f t="shared" si="3"/>
        <v>0.87237674933961595</v>
      </c>
      <c r="O84" s="9"/>
    </row>
    <row r="85" spans="1:15" x14ac:dyDescent="0.3">
      <c r="A85" s="7">
        <v>82</v>
      </c>
      <c r="B85" s="9" t="s">
        <v>98</v>
      </c>
      <c r="C85" s="9">
        <v>0.13656208452218149</v>
      </c>
      <c r="D85" s="9">
        <v>3.986060644150251E-3</v>
      </c>
      <c r="E85" s="9">
        <v>3.9835710509589358E-3</v>
      </c>
      <c r="F85" s="9">
        <v>1.9756943873789636E-3</v>
      </c>
      <c r="G85" s="9">
        <v>3.6082011268108935E-3</v>
      </c>
      <c r="H85" s="9">
        <v>3.6244440876736271E-3</v>
      </c>
      <c r="I85" s="9">
        <v>8.327921330692491E-3</v>
      </c>
      <c r="J85" s="9">
        <v>7.4914302080112682E-2</v>
      </c>
      <c r="K85" s="9">
        <v>8.6462110241125739E-3</v>
      </c>
      <c r="L85" s="9">
        <v>5.5711237902918145E-3</v>
      </c>
      <c r="M85" s="7">
        <f t="shared" si="2"/>
        <v>0.67337434892313075</v>
      </c>
      <c r="N85" s="7">
        <f t="shared" si="3"/>
        <v>0.75180293392417163</v>
      </c>
      <c r="O85" s="9"/>
    </row>
    <row r="86" spans="1:15" x14ac:dyDescent="0.3">
      <c r="A86" s="7">
        <v>83</v>
      </c>
      <c r="B86" s="9" t="s">
        <v>99</v>
      </c>
      <c r="C86" s="9">
        <v>0.17895156519654207</v>
      </c>
      <c r="D86" s="9">
        <v>4.6645450586472341E-2</v>
      </c>
      <c r="E86" s="9">
        <v>6.3035495864035951E-2</v>
      </c>
      <c r="F86" s="9">
        <v>8.5810599863759357E-2</v>
      </c>
      <c r="G86" s="9">
        <v>5.8416340892963138E-2</v>
      </c>
      <c r="H86" s="9">
        <v>3.9448029477318895E-2</v>
      </c>
      <c r="I86" s="9">
        <v>4.8944243665585772E-2</v>
      </c>
      <c r="J86" s="9">
        <v>6.4740907007346277E-2</v>
      </c>
      <c r="K86" s="9">
        <v>9.4506557814014208E-2</v>
      </c>
      <c r="L86" s="9">
        <v>3.6249397320246776E-2</v>
      </c>
      <c r="M86" s="7">
        <f t="shared" si="2"/>
        <v>0.65584598813311601</v>
      </c>
      <c r="N86" s="7">
        <f t="shared" si="3"/>
        <v>0.28864585907688545</v>
      </c>
      <c r="O86" s="9"/>
    </row>
    <row r="87" spans="1:15" x14ac:dyDescent="0.3">
      <c r="A87" s="7">
        <v>84</v>
      </c>
      <c r="B87" s="9" t="s">
        <v>100</v>
      </c>
      <c r="C87" s="9">
        <v>0.63639441350536441</v>
      </c>
      <c r="D87" s="9">
        <v>32.923261490724734</v>
      </c>
      <c r="E87" s="9">
        <v>6.7565411584682353</v>
      </c>
      <c r="F87" s="9">
        <v>9.3332709301013885</v>
      </c>
      <c r="G87" s="9">
        <v>39.609696391440139</v>
      </c>
      <c r="H87" s="9">
        <v>2.0144110252437071</v>
      </c>
      <c r="I87" s="9">
        <v>1.8015010233201652</v>
      </c>
      <c r="J87" s="9">
        <v>3.1367582097900009</v>
      </c>
      <c r="K87" s="9">
        <v>0.89873537508254508</v>
      </c>
      <c r="L87" s="9">
        <v>3.9089069006774042</v>
      </c>
      <c r="M87" s="7">
        <f t="shared" si="2"/>
        <v>0.13175467880797564</v>
      </c>
      <c r="N87" s="7">
        <f t="shared" si="3"/>
        <v>8.0199489179634806E-2</v>
      </c>
      <c r="O87" s="9"/>
    </row>
    <row r="88" spans="1:15" x14ac:dyDescent="0.3">
      <c r="A88" s="7">
        <v>85</v>
      </c>
      <c r="B88" s="9" t="s">
        <v>101</v>
      </c>
      <c r="C88" s="9">
        <v>2.0081875405143084</v>
      </c>
      <c r="D88" s="9">
        <v>1.352508154524612</v>
      </c>
      <c r="E88" s="9">
        <v>0.63401154942161297</v>
      </c>
      <c r="F88" s="9">
        <v>0.71724828026793352</v>
      </c>
      <c r="G88" s="9">
        <v>1.3473120569115542</v>
      </c>
      <c r="H88" s="9">
        <v>0.38286011909634454</v>
      </c>
      <c r="I88" s="9">
        <v>0.77798824615253515</v>
      </c>
      <c r="J88" s="9">
        <v>0.95010414142646404</v>
      </c>
      <c r="K88" s="9">
        <v>0.96509767864682183</v>
      </c>
      <c r="L88" s="9">
        <v>0.98421550746940034</v>
      </c>
      <c r="M88" s="7">
        <f t="shared" si="2"/>
        <v>0.67009182844052584</v>
      </c>
      <c r="N88" s="7">
        <f t="shared" si="3"/>
        <v>0.18352973451985241</v>
      </c>
      <c r="O88" s="9"/>
    </row>
    <row r="89" spans="1:15" x14ac:dyDescent="0.3">
      <c r="A89" s="7">
        <v>86</v>
      </c>
      <c r="B89" s="9" t="s">
        <v>102</v>
      </c>
      <c r="C89" s="9">
        <v>5.4281108397759952E-3</v>
      </c>
      <c r="D89" s="9">
        <v>9.6251873762451656E-3</v>
      </c>
      <c r="E89" s="9">
        <v>4.2267842950833396E-3</v>
      </c>
      <c r="F89" s="9">
        <v>3.0908969635149467E-3</v>
      </c>
      <c r="G89" s="9">
        <v>1.4346676949008466E-2</v>
      </c>
      <c r="H89" s="9">
        <v>6.8008754663986199E-3</v>
      </c>
      <c r="I89" s="9">
        <v>6.7809244953020414E-3</v>
      </c>
      <c r="J89" s="9">
        <v>5.4983986879345954E-3</v>
      </c>
      <c r="K89" s="9">
        <v>7.0269404695746853E-3</v>
      </c>
      <c r="L89" s="9">
        <v>6.5925103274216629E-3</v>
      </c>
      <c r="M89" s="7">
        <f t="shared" si="2"/>
        <v>0.89057016791489152</v>
      </c>
      <c r="N89" s="7">
        <f t="shared" si="3"/>
        <v>0.7103251251755669</v>
      </c>
      <c r="O89" s="9"/>
    </row>
    <row r="90" spans="1:15" x14ac:dyDescent="0.3">
      <c r="A90" s="7">
        <v>87</v>
      </c>
      <c r="B90" s="9" t="s">
        <v>103</v>
      </c>
      <c r="C90" s="9">
        <v>3.9649086386743471E-2</v>
      </c>
      <c r="D90" s="9">
        <v>6.9273262763899404E-2</v>
      </c>
      <c r="E90" s="9">
        <v>4.0287105892928221E-2</v>
      </c>
      <c r="F90" s="9">
        <v>5.4186486061605671E-2</v>
      </c>
      <c r="G90" s="9">
        <v>7.3440698135339405E-2</v>
      </c>
      <c r="H90" s="9">
        <v>7.490900302989939E-2</v>
      </c>
      <c r="I90" s="9">
        <v>3.7740154335679454E-2</v>
      </c>
      <c r="J90" s="9">
        <v>2.4878883065663854E-2</v>
      </c>
      <c r="K90" s="9">
        <v>3.5027566558596769E-2</v>
      </c>
      <c r="L90" s="9">
        <v>2.3660707899483571E-2</v>
      </c>
      <c r="M90" s="7">
        <f t="shared" si="2"/>
        <v>0.70878015073304645</v>
      </c>
      <c r="N90" s="7">
        <f t="shared" si="3"/>
        <v>0.20542728899660725</v>
      </c>
      <c r="O90" s="9"/>
    </row>
    <row r="91" spans="1:15" x14ac:dyDescent="0.3">
      <c r="A91" s="7">
        <v>88</v>
      </c>
      <c r="B91" s="9" t="s">
        <v>104</v>
      </c>
      <c r="C91" s="9">
        <v>2.147407126435377E-3</v>
      </c>
      <c r="D91" s="9">
        <v>1.2830309606636512E-3</v>
      </c>
      <c r="E91" s="9">
        <v>1.4605930594427806E-3</v>
      </c>
      <c r="F91" s="9">
        <v>1.6528020198822132E-3</v>
      </c>
      <c r="G91" s="9">
        <v>3.0087578180768046E-3</v>
      </c>
      <c r="H91" s="9">
        <v>1.621629168513058E-3</v>
      </c>
      <c r="I91" s="9">
        <v>1.358797807691369E-3</v>
      </c>
      <c r="J91" s="9">
        <v>1.399747642618793E-3</v>
      </c>
      <c r="K91" s="9">
        <v>2.6956513342995909E-3</v>
      </c>
      <c r="L91" s="9">
        <v>1.3157107943760136E-3</v>
      </c>
      <c r="M91" s="7">
        <f t="shared" si="2"/>
        <v>0.87845661570920153</v>
      </c>
      <c r="N91" s="7">
        <f t="shared" si="3"/>
        <v>0.58179942328460721</v>
      </c>
      <c r="O91" s="9"/>
    </row>
    <row r="92" spans="1:15" x14ac:dyDescent="0.3">
      <c r="A92" s="7">
        <v>89</v>
      </c>
      <c r="B92" s="9" t="s">
        <v>105</v>
      </c>
      <c r="C92" s="9">
        <v>4.0576299316333704E-3</v>
      </c>
      <c r="D92" s="9">
        <v>4.0824968684065894E-3</v>
      </c>
      <c r="E92" s="9">
        <v>2.6432721037924151E-3</v>
      </c>
      <c r="F92" s="9">
        <v>4.2416983207130129E-3</v>
      </c>
      <c r="G92" s="9">
        <v>6.7933185525615482E-3</v>
      </c>
      <c r="H92" s="9">
        <v>5.0156472871045491E-3</v>
      </c>
      <c r="I92" s="9">
        <v>5.021413978395577E-3</v>
      </c>
      <c r="J92" s="9">
        <v>3.0856096987009478E-3</v>
      </c>
      <c r="K92" s="9">
        <v>3.0869808725736171E-3</v>
      </c>
      <c r="L92" s="9">
        <v>4.3239101326360387E-3</v>
      </c>
      <c r="M92" s="7">
        <f t="shared" si="2"/>
        <v>0.9411114986155712</v>
      </c>
      <c r="N92" s="7">
        <f t="shared" si="3"/>
        <v>0.75667353504109769</v>
      </c>
      <c r="O92" s="9"/>
    </row>
    <row r="93" spans="1:15" x14ac:dyDescent="0.3">
      <c r="A93" s="7">
        <v>90</v>
      </c>
      <c r="B93" s="9" t="s">
        <v>106</v>
      </c>
      <c r="C93" s="9">
        <v>7.3555225887266956E-2</v>
      </c>
      <c r="D93" s="9">
        <v>2.211447176445034E-2</v>
      </c>
      <c r="E93" s="9">
        <v>1.8420633384291989E-2</v>
      </c>
      <c r="F93" s="9">
        <v>2.2155646066738754E-2</v>
      </c>
      <c r="G93" s="9">
        <v>3.5598692114907564E-2</v>
      </c>
      <c r="H93" s="9">
        <v>3.1929001248312078E-2</v>
      </c>
      <c r="I93" s="9">
        <v>3.1613387959041173E-2</v>
      </c>
      <c r="J93" s="9">
        <v>1.745632893300713E-2</v>
      </c>
      <c r="K93" s="9">
        <v>1.9608054659248385E-2</v>
      </c>
      <c r="L93" s="9">
        <v>4.1359061837889691E-2</v>
      </c>
      <c r="M93" s="7">
        <f t="shared" si="2"/>
        <v>0.82612882484988159</v>
      </c>
      <c r="N93" s="7">
        <f t="shared" si="3"/>
        <v>0.60600966491115904</v>
      </c>
      <c r="O93" s="9"/>
    </row>
    <row r="94" spans="1:15" x14ac:dyDescent="0.3">
      <c r="A94" s="7">
        <v>91</v>
      </c>
      <c r="B94" s="9" t="s">
        <v>107</v>
      </c>
      <c r="C94" s="9">
        <v>0.80343658669800644</v>
      </c>
      <c r="D94" s="9">
        <v>0.40034832593109332</v>
      </c>
      <c r="E94" s="9">
        <v>0.48119121033861079</v>
      </c>
      <c r="F94" s="9">
        <v>0.25468424757997943</v>
      </c>
      <c r="G94" s="9">
        <v>0.83265578980357102</v>
      </c>
      <c r="H94" s="9">
        <v>0.33421502021774652</v>
      </c>
      <c r="I94" s="9">
        <v>0.37500620514424532</v>
      </c>
      <c r="J94" s="9">
        <v>0.40703580119062344</v>
      </c>
      <c r="K94" s="9">
        <v>0.37179908590215471</v>
      </c>
      <c r="L94" s="9">
        <v>0.32010612023195922</v>
      </c>
      <c r="M94" s="7">
        <f t="shared" si="2"/>
        <v>0.65222078872044287</v>
      </c>
      <c r="N94" s="7">
        <f t="shared" si="3"/>
        <v>0.13127636164079221</v>
      </c>
      <c r="O94" s="9"/>
    </row>
    <row r="95" spans="1:15" x14ac:dyDescent="0.3">
      <c r="A95" s="7">
        <v>92</v>
      </c>
      <c r="B95" s="9" t="s">
        <v>108</v>
      </c>
      <c r="C95" s="9">
        <v>0.89761222319590328</v>
      </c>
      <c r="D95" s="9">
        <v>3.3897099922303799</v>
      </c>
      <c r="E95" s="9">
        <v>1.074383756211251</v>
      </c>
      <c r="F95" s="9">
        <v>2.0911330173126346</v>
      </c>
      <c r="G95" s="9">
        <v>0.1200643650237213</v>
      </c>
      <c r="H95" s="9">
        <v>4.5003032204666095E-2</v>
      </c>
      <c r="I95" s="9">
        <v>0.14721461023305538</v>
      </c>
      <c r="J95" s="9">
        <v>0.84510112524278092</v>
      </c>
      <c r="K95" s="9">
        <v>8.1643289496575483E-2</v>
      </c>
      <c r="L95" s="9">
        <v>0.14352871039786702</v>
      </c>
      <c r="M95" s="7">
        <f t="shared" si="2"/>
        <v>0.16671159112475023</v>
      </c>
      <c r="N95" s="7">
        <f t="shared" si="3"/>
        <v>6.257176803123761E-2</v>
      </c>
      <c r="O95" s="9"/>
    </row>
    <row r="96" spans="1:15" x14ac:dyDescent="0.3">
      <c r="A96" s="7">
        <v>93</v>
      </c>
      <c r="B96" s="9" t="s">
        <v>109</v>
      </c>
      <c r="C96" s="9">
        <v>0.3681663985056528</v>
      </c>
      <c r="D96" s="9">
        <v>0.26095082121448548</v>
      </c>
      <c r="E96" s="9">
        <v>0.19325845718728438</v>
      </c>
      <c r="F96" s="9">
        <v>0.15578887089978016</v>
      </c>
      <c r="G96" s="9">
        <v>0.35697472607548053</v>
      </c>
      <c r="H96" s="9">
        <v>6.0538380802109742E-2</v>
      </c>
      <c r="I96" s="9">
        <v>6.7513920676360917E-2</v>
      </c>
      <c r="J96" s="9">
        <v>6.4919131983032896E-2</v>
      </c>
      <c r="K96" s="9">
        <v>5.023608600084882E-2</v>
      </c>
      <c r="L96" s="9">
        <v>6.8571022819046409E-2</v>
      </c>
      <c r="M96" s="7">
        <f t="shared" si="2"/>
        <v>0.23351761751021211</v>
      </c>
      <c r="N96" s="7">
        <f t="shared" si="3"/>
        <v>1.3590794458358734E-3</v>
      </c>
      <c r="O96" s="9"/>
    </row>
    <row r="97" spans="1:15" x14ac:dyDescent="0.3">
      <c r="A97" s="7">
        <v>94</v>
      </c>
      <c r="B97" s="9" t="s">
        <v>110</v>
      </c>
      <c r="C97" s="9">
        <v>9.9119831632626859E-2</v>
      </c>
      <c r="D97" s="9">
        <v>0.35397060200362129</v>
      </c>
      <c r="E97" s="9">
        <v>6.8424548236380264E-2</v>
      </c>
      <c r="F97" s="9">
        <v>0.51458925893269458</v>
      </c>
      <c r="G97" s="9">
        <v>0.62743824974799245</v>
      </c>
      <c r="H97" s="9">
        <v>0.12568840623053393</v>
      </c>
      <c r="I97" s="9">
        <v>6.2859370910767959E-2</v>
      </c>
      <c r="J97" s="9">
        <v>7.1485345976268502E-2</v>
      </c>
      <c r="K97" s="9">
        <v>8.0410042359527201E-2</v>
      </c>
      <c r="L97" s="9">
        <v>4.9400806855390264E-2</v>
      </c>
      <c r="M97" s="7">
        <f t="shared" si="2"/>
        <v>0.23434566567808005</v>
      </c>
      <c r="N97" s="7">
        <f t="shared" si="3"/>
        <v>5.1520631303475825E-2</v>
      </c>
      <c r="O97" s="9"/>
    </row>
    <row r="98" spans="1:15" x14ac:dyDescent="0.3">
      <c r="A98" s="7">
        <v>95</v>
      </c>
      <c r="B98" s="9" t="s">
        <v>111</v>
      </c>
      <c r="C98" s="9">
        <v>0.79351341714427459</v>
      </c>
      <c r="D98" s="9">
        <v>11.069744028891687</v>
      </c>
      <c r="E98" s="9">
        <v>1.7610720957929118</v>
      </c>
      <c r="F98" s="9">
        <v>1.268538183018781</v>
      </c>
      <c r="G98" s="9">
        <v>12.40952986662796</v>
      </c>
      <c r="H98" s="9">
        <v>1.6714370350788994</v>
      </c>
      <c r="I98" s="9">
        <v>1.3292605379564653</v>
      </c>
      <c r="J98" s="9">
        <v>1.4076655663654205</v>
      </c>
      <c r="K98" s="9">
        <v>1.0792315875575433</v>
      </c>
      <c r="L98" s="9">
        <v>3.0910899968369496</v>
      </c>
      <c r="M98" s="7">
        <f t="shared" si="2"/>
        <v>0.31420994053920476</v>
      </c>
      <c r="N98" s="7">
        <f t="shared" si="3"/>
        <v>0.18794646938835352</v>
      </c>
      <c r="O98" s="9"/>
    </row>
    <row r="99" spans="1:15" x14ac:dyDescent="0.3">
      <c r="A99" s="7">
        <v>96</v>
      </c>
      <c r="B99" s="9" t="s">
        <v>112</v>
      </c>
      <c r="C99" s="9">
        <v>2.9387658816921181</v>
      </c>
      <c r="D99" s="9">
        <v>12.289313466394116</v>
      </c>
      <c r="E99" s="9">
        <v>9.9246604851063616</v>
      </c>
      <c r="F99" s="9">
        <v>7.1477108557326252</v>
      </c>
      <c r="G99" s="9">
        <v>11.593587402620939</v>
      </c>
      <c r="H99" s="9">
        <v>5.7630275287095216</v>
      </c>
      <c r="I99" s="9">
        <v>6.3329066204132385</v>
      </c>
      <c r="J99" s="9">
        <v>6.7835840466733206</v>
      </c>
      <c r="K99" s="9">
        <v>4.7307164651040399</v>
      </c>
      <c r="L99" s="9">
        <v>15.144079996319302</v>
      </c>
      <c r="M99" s="7">
        <f t="shared" si="2"/>
        <v>0.88290611532237606</v>
      </c>
      <c r="N99" s="7">
        <f t="shared" si="3"/>
        <v>0.69627096533180133</v>
      </c>
      <c r="O99" s="9"/>
    </row>
    <row r="100" spans="1:15" x14ac:dyDescent="0.3">
      <c r="A100" s="7">
        <v>97</v>
      </c>
      <c r="B100" s="9" t="s">
        <v>113</v>
      </c>
      <c r="C100" s="9">
        <v>4.3428947749114117</v>
      </c>
      <c r="D100" s="9">
        <v>1.3164790764112568</v>
      </c>
      <c r="E100" s="9">
        <v>3.0609927993712245</v>
      </c>
      <c r="F100" s="9">
        <v>2.8159437503181182</v>
      </c>
      <c r="G100" s="9">
        <v>0.78977692136393396</v>
      </c>
      <c r="H100" s="9">
        <v>1.3108696488082792</v>
      </c>
      <c r="I100" s="9">
        <v>4.0548974565331308</v>
      </c>
      <c r="J100" s="9">
        <v>3.1409892338794143</v>
      </c>
      <c r="K100" s="9">
        <v>3.5976416892190235</v>
      </c>
      <c r="L100" s="9">
        <v>1.178555849916447</v>
      </c>
      <c r="M100" s="7">
        <f t="shared" si="2"/>
        <v>1.0776293831898562</v>
      </c>
      <c r="N100" s="7">
        <f t="shared" si="3"/>
        <v>0.83174978633280983</v>
      </c>
      <c r="O100" s="9"/>
    </row>
    <row r="101" spans="1:15" x14ac:dyDescent="0.3">
      <c r="A101" s="7">
        <v>98</v>
      </c>
      <c r="B101" s="9" t="s">
        <v>114</v>
      </c>
      <c r="C101" s="9">
        <v>3.0315119334429637E-3</v>
      </c>
      <c r="D101" s="9">
        <v>9.1481287235817537E-4</v>
      </c>
      <c r="E101" s="9">
        <v>3.5966938374704116E-4</v>
      </c>
      <c r="F101" s="9">
        <v>8.7817788100793366E-4</v>
      </c>
      <c r="G101" s="9">
        <v>4.7738355132137365E-4</v>
      </c>
      <c r="H101" s="9">
        <v>7.1665188658202091E-4</v>
      </c>
      <c r="I101" s="9">
        <v>9.9601763765179256E-4</v>
      </c>
      <c r="J101" s="9">
        <v>7.5246490695369238E-4</v>
      </c>
      <c r="K101" s="9">
        <v>7.053904145846178E-4</v>
      </c>
      <c r="L101" s="9">
        <v>1.2684462299203422E-3</v>
      </c>
      <c r="M101" s="7">
        <f t="shared" si="2"/>
        <v>0.78405501458632887</v>
      </c>
      <c r="N101" s="7">
        <f t="shared" si="3"/>
        <v>0.63735283201292914</v>
      </c>
      <c r="O101" s="9"/>
    </row>
    <row r="102" spans="1:15" x14ac:dyDescent="0.3">
      <c r="A102" s="7">
        <v>99</v>
      </c>
      <c r="B102" s="9" t="s">
        <v>115</v>
      </c>
      <c r="C102" s="9">
        <v>3.510598389725457E-2</v>
      </c>
      <c r="D102" s="9">
        <v>3.8766197343813542E-2</v>
      </c>
      <c r="E102" s="9">
        <v>3.4769812607951575E-2</v>
      </c>
      <c r="F102" s="9">
        <v>3.631059375855069E-2</v>
      </c>
      <c r="G102" s="9">
        <v>6.1175572921480854E-2</v>
      </c>
      <c r="H102" s="9">
        <v>6.5654013857473964E-2</v>
      </c>
      <c r="I102" s="9">
        <v>5.4587018846726815E-2</v>
      </c>
      <c r="J102" s="9">
        <v>2.684631776446357E-2</v>
      </c>
      <c r="K102" s="9">
        <v>2.7913723797244949E-2</v>
      </c>
      <c r="L102" s="9">
        <v>4.4091715934145251E-2</v>
      </c>
      <c r="M102" s="7">
        <f t="shared" si="2"/>
        <v>1.0628959654892767</v>
      </c>
      <c r="N102" s="7">
        <f t="shared" si="3"/>
        <v>0.78196827058045082</v>
      </c>
      <c r="O102" s="9"/>
    </row>
    <row r="103" spans="1:15" x14ac:dyDescent="0.3">
      <c r="A103" s="7">
        <v>100</v>
      </c>
      <c r="B103" s="9" t="s">
        <v>116</v>
      </c>
      <c r="C103" s="9">
        <v>3.0789375487138799E-2</v>
      </c>
      <c r="D103" s="9">
        <v>3.6815835287209754E-2</v>
      </c>
      <c r="E103" s="9">
        <v>4.2801496932112215E-2</v>
      </c>
      <c r="F103" s="9">
        <v>2.1364466153641886E-2</v>
      </c>
      <c r="G103" s="9">
        <v>3.5976300747789881E-2</v>
      </c>
      <c r="H103" s="9">
        <v>4.9361017450942922E-2</v>
      </c>
      <c r="I103" s="9">
        <v>5.2720923543918136E-2</v>
      </c>
      <c r="J103" s="9">
        <v>2.2636999516717809E-2</v>
      </c>
      <c r="K103" s="9">
        <v>5.5680192137613133E-2</v>
      </c>
      <c r="L103" s="9">
        <v>4.5642658834988054E-2</v>
      </c>
      <c r="M103" s="7">
        <f t="shared" si="2"/>
        <v>1.3475123366986579</v>
      </c>
      <c r="N103" s="7">
        <f t="shared" si="3"/>
        <v>0.1293922888850963</v>
      </c>
      <c r="O103" s="9"/>
    </row>
    <row r="104" spans="1:15" x14ac:dyDescent="0.3">
      <c r="A104" s="7">
        <v>101</v>
      </c>
      <c r="B104" s="9" t="s">
        <v>117</v>
      </c>
      <c r="C104" s="9">
        <v>2.3661017024777209</v>
      </c>
      <c r="D104" s="9">
        <v>0.86191171825008384</v>
      </c>
      <c r="E104" s="9">
        <v>1.1663136281320543</v>
      </c>
      <c r="F104" s="9">
        <v>0.98069598097843624</v>
      </c>
      <c r="G104" s="9">
        <v>0.5630150682264764</v>
      </c>
      <c r="H104" s="9">
        <v>0.87434068961883071</v>
      </c>
      <c r="I104" s="9">
        <v>1.0787724150629325</v>
      </c>
      <c r="J104" s="9">
        <v>1.0970792094316066</v>
      </c>
      <c r="K104" s="9">
        <v>1.1206258315500768</v>
      </c>
      <c r="L104" s="9">
        <v>0.89291718374555595</v>
      </c>
      <c r="M104" s="7">
        <f t="shared" si="2"/>
        <v>0.85276235109695464</v>
      </c>
      <c r="N104" s="7">
        <f t="shared" si="3"/>
        <v>0.59403419552248393</v>
      </c>
      <c r="O104" s="9"/>
    </row>
    <row r="105" spans="1:15" x14ac:dyDescent="0.3">
      <c r="A105" s="7">
        <v>102</v>
      </c>
      <c r="B105" s="9" t="s">
        <v>118</v>
      </c>
      <c r="C105" s="9">
        <v>8.0208289594679336E-2</v>
      </c>
      <c r="D105" s="9">
        <v>6.1483238539542386E-2</v>
      </c>
      <c r="E105" s="9">
        <v>8.480855305594974E-2</v>
      </c>
      <c r="F105" s="9">
        <v>6.3064559172693713E-2</v>
      </c>
      <c r="G105" s="9">
        <v>7.7607277251467141E-2</v>
      </c>
      <c r="H105" s="9">
        <v>0.10059585823141222</v>
      </c>
      <c r="I105" s="9">
        <v>9.4737174717876793E-2</v>
      </c>
      <c r="J105" s="9">
        <v>7.8355661636153109E-2</v>
      </c>
      <c r="K105" s="9">
        <v>9.9336249476890182E-2</v>
      </c>
      <c r="L105" s="9">
        <v>9.5400899123142202E-2</v>
      </c>
      <c r="M105" s="7">
        <f t="shared" si="2"/>
        <v>1.2757670745329075</v>
      </c>
      <c r="N105" s="7">
        <f t="shared" si="3"/>
        <v>1.1166249830221717E-2</v>
      </c>
      <c r="O105" s="9"/>
    </row>
    <row r="106" spans="1:15" x14ac:dyDescent="0.3">
      <c r="A106" s="7">
        <v>103</v>
      </c>
      <c r="B106" s="9" t="s">
        <v>119</v>
      </c>
      <c r="C106" s="9">
        <v>5.9517981216508434E-2</v>
      </c>
      <c r="D106" s="9">
        <v>2.7195062142642848E-2</v>
      </c>
      <c r="E106" s="9">
        <v>4.9307003534800692E-2</v>
      </c>
      <c r="F106" s="9">
        <v>3.9113109950991994E-2</v>
      </c>
      <c r="G106" s="9">
        <v>1.5125635045206226E-2</v>
      </c>
      <c r="H106" s="9">
        <v>9.4306949571550239E-2</v>
      </c>
      <c r="I106" s="9">
        <v>5.7538437650532147E-2</v>
      </c>
      <c r="J106" s="9">
        <v>4.8289438665959375E-2</v>
      </c>
      <c r="K106" s="9">
        <v>4.9860912299655342E-2</v>
      </c>
      <c r="L106" s="9">
        <v>4.6986107482229013E-2</v>
      </c>
      <c r="M106" s="7">
        <f t="shared" si="2"/>
        <v>1.5609362527719335</v>
      </c>
      <c r="N106" s="7">
        <f t="shared" si="3"/>
        <v>0.11010396856895334</v>
      </c>
      <c r="O106" s="9"/>
    </row>
    <row r="107" spans="1:15" x14ac:dyDescent="0.3">
      <c r="A107" s="7">
        <v>104</v>
      </c>
      <c r="B107" s="9" t="s">
        <v>120</v>
      </c>
      <c r="C107" s="9">
        <v>4.2677779950636652E-2</v>
      </c>
      <c r="D107" s="9">
        <v>1.7045556441963438E-2</v>
      </c>
      <c r="E107" s="9">
        <v>4.1938455418957951E-2</v>
      </c>
      <c r="F107" s="9">
        <v>2.5403823380588018E-2</v>
      </c>
      <c r="G107" s="9">
        <v>1.487788902799469E-2</v>
      </c>
      <c r="H107" s="9">
        <v>7.9729191576348973E-2</v>
      </c>
      <c r="I107" s="9">
        <v>4.7196575007385028E-2</v>
      </c>
      <c r="J107" s="9">
        <v>3.9460771234248175E-2</v>
      </c>
      <c r="K107" s="9">
        <v>4.0838719748211225E-2</v>
      </c>
      <c r="L107" s="9">
        <v>3.5782235481979459E-2</v>
      </c>
      <c r="M107" s="7">
        <f t="shared" si="2"/>
        <v>1.7120015063971616</v>
      </c>
      <c r="N107" s="7">
        <f t="shared" si="3"/>
        <v>7.7107002589251072E-2</v>
      </c>
      <c r="O107" s="9"/>
    </row>
    <row r="108" spans="1:15" x14ac:dyDescent="0.3">
      <c r="A108" s="7">
        <v>105</v>
      </c>
      <c r="B108" s="9" t="s">
        <v>121</v>
      </c>
      <c r="C108" s="9">
        <v>2.7987309444029104E-2</v>
      </c>
      <c r="D108" s="9">
        <v>2.1397815574691545E-2</v>
      </c>
      <c r="E108" s="9">
        <v>2.4387956462108635E-2</v>
      </c>
      <c r="F108" s="9">
        <v>2.119381152363662E-2</v>
      </c>
      <c r="G108" s="9">
        <v>3.4925562153455381E-2</v>
      </c>
      <c r="H108" s="9">
        <v>3.3064453291740674E-2</v>
      </c>
      <c r="I108" s="9">
        <v>3.2274188675234072E-2</v>
      </c>
      <c r="J108" s="9">
        <v>2.9457210511274017E-2</v>
      </c>
      <c r="K108" s="9">
        <v>3.4457234160535283E-2</v>
      </c>
      <c r="L108" s="9">
        <v>3.0799005720411051E-2</v>
      </c>
      <c r="M108" s="7">
        <f t="shared" si="2"/>
        <v>1.2321892920155075</v>
      </c>
      <c r="N108" s="7">
        <f t="shared" si="3"/>
        <v>5.5838889095772733E-2</v>
      </c>
      <c r="O108" s="9"/>
    </row>
    <row r="109" spans="1:15" x14ac:dyDescent="0.3">
      <c r="A109" s="7">
        <v>106</v>
      </c>
      <c r="B109" s="9" t="s">
        <v>122</v>
      </c>
      <c r="C109" s="9">
        <v>3.8154081508596387</v>
      </c>
      <c r="D109" s="9">
        <v>2.2540908229112677</v>
      </c>
      <c r="E109" s="9">
        <v>2.5194756085909007</v>
      </c>
      <c r="F109" s="9">
        <v>2.3190961984786465</v>
      </c>
      <c r="G109" s="9">
        <v>1.7042470098417573</v>
      </c>
      <c r="H109" s="9">
        <v>1.7189695017537645</v>
      </c>
      <c r="I109" s="9">
        <v>2.6417997505516539</v>
      </c>
      <c r="J109" s="9">
        <v>2.4888304789916464</v>
      </c>
      <c r="K109" s="9">
        <v>2.7663002251797515</v>
      </c>
      <c r="L109" s="9">
        <v>2.4781451168976814</v>
      </c>
      <c r="M109" s="7">
        <f t="shared" si="2"/>
        <v>0.95890741686745284</v>
      </c>
      <c r="N109" s="7">
        <f t="shared" si="3"/>
        <v>0.79971724407147571</v>
      </c>
      <c r="O109" s="9"/>
    </row>
    <row r="110" spans="1:15" x14ac:dyDescent="0.3">
      <c r="A110" s="7">
        <v>107</v>
      </c>
      <c r="B110" s="9" t="s">
        <v>123</v>
      </c>
      <c r="C110" s="9">
        <v>1.1889145136505888</v>
      </c>
      <c r="D110" s="9">
        <v>0.89830142073492036</v>
      </c>
      <c r="E110" s="9">
        <v>0.80298218625089812</v>
      </c>
      <c r="F110" s="9">
        <v>0.94108963179277083</v>
      </c>
      <c r="G110" s="9">
        <v>1.1956155182342645</v>
      </c>
      <c r="H110" s="9">
        <v>0.96858730635761758</v>
      </c>
      <c r="I110" s="9">
        <v>0.80891339227551895</v>
      </c>
      <c r="J110" s="9">
        <v>0.70005389610188573</v>
      </c>
      <c r="K110" s="9">
        <v>0.76879457794287265</v>
      </c>
      <c r="L110" s="9">
        <v>0.79150745323194838</v>
      </c>
      <c r="M110" s="7">
        <f t="shared" si="2"/>
        <v>0.80324931841724745</v>
      </c>
      <c r="N110" s="7">
        <f t="shared" si="3"/>
        <v>6.1503075839544265E-2</v>
      </c>
      <c r="O110" s="9"/>
    </row>
    <row r="111" spans="1:15" x14ac:dyDescent="0.3">
      <c r="A111" s="7">
        <v>108</v>
      </c>
      <c r="B111" s="9" t="s">
        <v>124</v>
      </c>
      <c r="C111" s="9">
        <v>1.7921399799100475</v>
      </c>
      <c r="D111" s="9">
        <v>7.3717684396667531</v>
      </c>
      <c r="E111" s="9">
        <v>1.3315452420399709</v>
      </c>
      <c r="F111" s="9">
        <v>1.488627955961366</v>
      </c>
      <c r="G111" s="9">
        <v>5.0943661254978538</v>
      </c>
      <c r="H111" s="9">
        <v>0.92438168891719508</v>
      </c>
      <c r="I111" s="9">
        <v>1.4678081953012601</v>
      </c>
      <c r="J111" s="9">
        <v>1.478544641085165</v>
      </c>
      <c r="K111" s="9">
        <v>1.0949286990496732</v>
      </c>
      <c r="L111" s="9">
        <v>1.1537863129152144</v>
      </c>
      <c r="M111" s="7">
        <f t="shared" si="2"/>
        <v>0.35831415297970959</v>
      </c>
      <c r="N111" s="7">
        <f t="shared" si="3"/>
        <v>0.10824593537877185</v>
      </c>
      <c r="O111" s="9"/>
    </row>
    <row r="112" spans="1:15" x14ac:dyDescent="0.3">
      <c r="A112" s="7">
        <v>109</v>
      </c>
      <c r="B112" s="9" t="s">
        <v>125</v>
      </c>
      <c r="C112" s="9">
        <v>1.1889720129227097</v>
      </c>
      <c r="D112" s="9">
        <v>0.85886289819596029</v>
      </c>
      <c r="E112" s="9">
        <v>0.80591560526616812</v>
      </c>
      <c r="F112" s="9">
        <v>0.92356447499543604</v>
      </c>
      <c r="G112" s="9">
        <v>1.1766372911426104</v>
      </c>
      <c r="H112" s="9">
        <v>0.96660441015298904</v>
      </c>
      <c r="I112" s="9">
        <v>0.80334315749501328</v>
      </c>
      <c r="J112" s="9">
        <v>0.69086353661505695</v>
      </c>
      <c r="K112" s="9">
        <v>0.74192499495226183</v>
      </c>
      <c r="L112" s="9">
        <v>0.80836900732894312</v>
      </c>
      <c r="M112" s="7">
        <f t="shared" si="2"/>
        <v>0.80967778407860247</v>
      </c>
      <c r="N112" s="7">
        <f t="shared" si="3"/>
        <v>7.7165039101968966E-2</v>
      </c>
      <c r="O112" s="9"/>
    </row>
  </sheetData>
  <dataValidations count="1">
    <dataValidation imeMode="disabled" operator="greaterThanOrEqual" allowBlank="1" showInputMessage="1" showErrorMessage="1" sqref="C1:L1" xr:uid="{00000000-0002-0000-0000-000000000000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1"/>
  <sheetViews>
    <sheetView workbookViewId="0">
      <selection activeCell="A38" sqref="A38:XFD39"/>
    </sheetView>
  </sheetViews>
  <sheetFormatPr defaultColWidth="9.08984375" defaultRowHeight="14" x14ac:dyDescent="0.3"/>
  <cols>
    <col min="1" max="1" width="9.08984375" style="1"/>
    <col min="2" max="2" width="41.453125" style="1" customWidth="1"/>
    <col min="3" max="3" width="12" style="1" bestFit="1" customWidth="1"/>
    <col min="4" max="4" width="14" style="1" bestFit="1" customWidth="1"/>
    <col min="5" max="16384" width="9.08984375" style="1"/>
  </cols>
  <sheetData>
    <row r="1" spans="1:4" s="4" customFormat="1" x14ac:dyDescent="0.3">
      <c r="A1" s="4" t="s">
        <v>13</v>
      </c>
      <c r="B1" s="5" t="s">
        <v>126</v>
      </c>
      <c r="C1" s="6" t="s">
        <v>15</v>
      </c>
      <c r="D1" s="4" t="s">
        <v>16</v>
      </c>
    </row>
    <row r="2" spans="1:4" x14ac:dyDescent="0.3">
      <c r="A2" s="1">
        <v>3</v>
      </c>
      <c r="B2" s="2" t="s">
        <v>19</v>
      </c>
      <c r="C2" s="1">
        <v>0.23071780809037098</v>
      </c>
      <c r="D2" s="1">
        <v>1.7711022153588205E-2</v>
      </c>
    </row>
    <row r="3" spans="1:4" s="16" customFormat="1" x14ac:dyDescent="0.3">
      <c r="A3" s="16">
        <v>4</v>
      </c>
      <c r="B3" s="17" t="s">
        <v>20</v>
      </c>
      <c r="C3" s="16">
        <v>0.24030313107043128</v>
      </c>
      <c r="D3" s="16">
        <v>1.3390873073545261E-2</v>
      </c>
    </row>
    <row r="4" spans="1:4" x14ac:dyDescent="0.3">
      <c r="A4" s="1">
        <v>5</v>
      </c>
      <c r="B4" s="2" t="s">
        <v>21</v>
      </c>
      <c r="C4" s="1">
        <v>0.19288161822255948</v>
      </c>
      <c r="D4" s="1">
        <v>2.9984320771825362E-2</v>
      </c>
    </row>
    <row r="5" spans="1:4" x14ac:dyDescent="0.3">
      <c r="A5" s="1">
        <v>6</v>
      </c>
      <c r="B5" s="2" t="s">
        <v>22</v>
      </c>
      <c r="C5" s="1">
        <v>0.79232680504915165</v>
      </c>
      <c r="D5" s="1">
        <v>0.45219158320298125</v>
      </c>
    </row>
    <row r="6" spans="1:4" s="16" customFormat="1" x14ac:dyDescent="0.3">
      <c r="A6" s="16">
        <v>9</v>
      </c>
      <c r="B6" s="17" t="s">
        <v>25</v>
      </c>
      <c r="C6" s="16">
        <v>0.41013266654249247</v>
      </c>
      <c r="D6" s="16">
        <v>5.6480677583981301E-2</v>
      </c>
    </row>
    <row r="7" spans="1:4" x14ac:dyDescent="0.3">
      <c r="A7" s="1">
        <v>12</v>
      </c>
      <c r="B7" s="2" t="s">
        <v>28</v>
      </c>
      <c r="C7" s="1">
        <v>0.1399064617638795</v>
      </c>
      <c r="D7" s="1">
        <v>4.1172864523700815E-2</v>
      </c>
    </row>
    <row r="8" spans="1:4" x14ac:dyDescent="0.3">
      <c r="A8" s="1">
        <v>14</v>
      </c>
      <c r="B8" s="2" t="s">
        <v>30</v>
      </c>
      <c r="C8" s="1">
        <v>1.4392168751658758</v>
      </c>
      <c r="D8" s="1">
        <v>0.38280373044903493</v>
      </c>
    </row>
    <row r="9" spans="1:4" x14ac:dyDescent="0.3">
      <c r="A9" s="1">
        <v>15</v>
      </c>
      <c r="B9" s="2" t="s">
        <v>31</v>
      </c>
      <c r="C9" s="1">
        <v>1.5386986797465463</v>
      </c>
      <c r="D9" s="1">
        <v>0.35049351351232449</v>
      </c>
    </row>
    <row r="10" spans="1:4" x14ac:dyDescent="0.3">
      <c r="A10" s="1">
        <v>17</v>
      </c>
      <c r="B10" s="2" t="s">
        <v>33</v>
      </c>
      <c r="C10" s="1">
        <v>0.75828610006723374</v>
      </c>
      <c r="D10" s="1">
        <v>0.44750124093810928</v>
      </c>
    </row>
    <row r="11" spans="1:4" x14ac:dyDescent="0.3">
      <c r="A11" s="1">
        <v>18</v>
      </c>
      <c r="B11" s="2" t="s">
        <v>34</v>
      </c>
      <c r="C11" s="1">
        <v>1.5365619493740794</v>
      </c>
      <c r="D11" s="1">
        <v>1.5557532900857363E-2</v>
      </c>
    </row>
    <row r="12" spans="1:4" x14ac:dyDescent="0.3">
      <c r="A12" s="1">
        <v>19</v>
      </c>
      <c r="B12" s="2" t="s">
        <v>35</v>
      </c>
      <c r="C12" s="1">
        <v>1.590399511849979</v>
      </c>
      <c r="D12" s="1">
        <v>0.33325116909966263</v>
      </c>
    </row>
    <row r="13" spans="1:4" x14ac:dyDescent="0.3">
      <c r="A13" s="1">
        <v>20</v>
      </c>
      <c r="B13" s="2" t="s">
        <v>36</v>
      </c>
      <c r="C13" s="1">
        <v>1.5024248649496499</v>
      </c>
      <c r="D13" s="1">
        <v>0.40811827935245215</v>
      </c>
    </row>
    <row r="14" spans="1:4" x14ac:dyDescent="0.3">
      <c r="A14" s="1">
        <v>21</v>
      </c>
      <c r="B14" s="2" t="s">
        <v>37</v>
      </c>
      <c r="C14" s="1">
        <v>1.2862542653055602</v>
      </c>
      <c r="D14" s="1">
        <v>0.38961240323849977</v>
      </c>
    </row>
    <row r="15" spans="1:4" x14ac:dyDescent="0.3">
      <c r="A15" s="1">
        <v>22</v>
      </c>
      <c r="B15" s="2" t="s">
        <v>38</v>
      </c>
      <c r="C15" s="1">
        <v>1.4207718179323277</v>
      </c>
      <c r="D15" s="1">
        <v>0.20136170481357235</v>
      </c>
    </row>
    <row r="16" spans="1:4" x14ac:dyDescent="0.3">
      <c r="A16" s="1">
        <v>23</v>
      </c>
      <c r="B16" s="2" t="s">
        <v>39</v>
      </c>
      <c r="C16" s="1">
        <v>0.5741849044273486</v>
      </c>
      <c r="D16" s="1">
        <v>0.20092641671604111</v>
      </c>
    </row>
    <row r="17" spans="1:4" x14ac:dyDescent="0.3">
      <c r="A17" s="1">
        <v>24</v>
      </c>
      <c r="B17" s="2" t="s">
        <v>40</v>
      </c>
      <c r="C17" s="1">
        <v>0.72425782750067635</v>
      </c>
      <c r="D17" s="1">
        <v>0.38895341548483964</v>
      </c>
    </row>
    <row r="18" spans="1:4" x14ac:dyDescent="0.3">
      <c r="A18" s="1">
        <v>25</v>
      </c>
      <c r="B18" s="2" t="s">
        <v>41</v>
      </c>
      <c r="C18" s="1">
        <v>0.67918237330283326</v>
      </c>
      <c r="D18" s="1">
        <v>0.67002294368190241</v>
      </c>
    </row>
    <row r="19" spans="1:4" x14ac:dyDescent="0.3">
      <c r="A19" s="1">
        <v>26</v>
      </c>
      <c r="B19" s="2" t="s">
        <v>42</v>
      </c>
      <c r="C19" s="1">
        <v>1.6252105462902533</v>
      </c>
      <c r="D19" s="1">
        <v>0.39375614126938763</v>
      </c>
    </row>
    <row r="20" spans="1:4" x14ac:dyDescent="0.3">
      <c r="A20" s="1">
        <v>27</v>
      </c>
      <c r="B20" s="2" t="s">
        <v>43</v>
      </c>
      <c r="C20" s="1">
        <v>0.65591496708739216</v>
      </c>
      <c r="D20" s="1">
        <v>0.25822117670137068</v>
      </c>
    </row>
    <row r="21" spans="1:4" x14ac:dyDescent="0.3">
      <c r="A21" s="1">
        <v>31</v>
      </c>
      <c r="B21" s="2" t="s">
        <v>47</v>
      </c>
      <c r="C21" s="1">
        <v>0.35115856508042315</v>
      </c>
      <c r="D21" s="1">
        <v>0.19180671363332971</v>
      </c>
    </row>
    <row r="22" spans="1:4" x14ac:dyDescent="0.3">
      <c r="A22" s="1">
        <v>32</v>
      </c>
      <c r="B22" s="2" t="s">
        <v>48</v>
      </c>
      <c r="C22" s="1">
        <v>2.4957683960391503</v>
      </c>
      <c r="D22" s="1">
        <v>3.8197547309826592E-3</v>
      </c>
    </row>
    <row r="23" spans="1:4" x14ac:dyDescent="0.3">
      <c r="A23" s="1">
        <v>33</v>
      </c>
      <c r="B23" s="2" t="s">
        <v>49</v>
      </c>
      <c r="C23" s="1">
        <v>0.41982669897223629</v>
      </c>
      <c r="D23" s="1">
        <v>0.10662073282833334</v>
      </c>
    </row>
    <row r="24" spans="1:4" x14ac:dyDescent="0.3">
      <c r="A24" s="1">
        <v>34</v>
      </c>
      <c r="B24" s="2" t="s">
        <v>50</v>
      </c>
      <c r="C24" s="1">
        <v>0.66778780922389747</v>
      </c>
      <c r="D24" s="1">
        <v>0.31021019599780453</v>
      </c>
    </row>
    <row r="25" spans="1:4" x14ac:dyDescent="0.3">
      <c r="A25" s="1">
        <v>35</v>
      </c>
      <c r="B25" s="2" t="s">
        <v>51</v>
      </c>
      <c r="C25" s="1">
        <v>0.67855520415355508</v>
      </c>
      <c r="D25" s="1">
        <v>1.6484782507143702E-2</v>
      </c>
    </row>
    <row r="26" spans="1:4" x14ac:dyDescent="0.3">
      <c r="A26" s="1">
        <v>38</v>
      </c>
      <c r="B26" s="2" t="s">
        <v>54</v>
      </c>
      <c r="C26" s="1">
        <v>1.6005091015347761</v>
      </c>
      <c r="D26" s="1">
        <v>3.1468863454539954E-2</v>
      </c>
    </row>
    <row r="27" spans="1:4" x14ac:dyDescent="0.3">
      <c r="A27" s="1">
        <v>40</v>
      </c>
      <c r="B27" s="2" t="s">
        <v>56</v>
      </c>
      <c r="C27" s="1">
        <v>0.66932896948706</v>
      </c>
      <c r="D27" s="1">
        <v>0.23638030829837714</v>
      </c>
    </row>
    <row r="28" spans="1:4" x14ac:dyDescent="0.3">
      <c r="A28" s="1">
        <v>43</v>
      </c>
      <c r="B28" s="2" t="s">
        <v>59</v>
      </c>
      <c r="C28" s="1">
        <v>0.61039302450241306</v>
      </c>
      <c r="D28" s="1">
        <v>0.57803267879932885</v>
      </c>
    </row>
    <row r="29" spans="1:4" x14ac:dyDescent="0.3">
      <c r="A29" s="1">
        <v>45</v>
      </c>
      <c r="B29" s="2" t="s">
        <v>61</v>
      </c>
      <c r="C29" s="1">
        <v>0.7469826334392804</v>
      </c>
      <c r="D29" s="1">
        <v>2.9952821554298362E-2</v>
      </c>
    </row>
    <row r="30" spans="1:4" x14ac:dyDescent="0.3">
      <c r="A30" s="1">
        <v>46</v>
      </c>
      <c r="B30" s="2" t="s">
        <v>62</v>
      </c>
      <c r="C30" s="1">
        <v>0.74688318289297517</v>
      </c>
      <c r="D30" s="1">
        <v>2.7812636750683902E-2</v>
      </c>
    </row>
    <row r="31" spans="1:4" x14ac:dyDescent="0.3">
      <c r="A31" s="1">
        <v>47</v>
      </c>
      <c r="B31" s="2" t="s">
        <v>63</v>
      </c>
      <c r="C31" s="1">
        <v>0.76119754544193841</v>
      </c>
      <c r="D31" s="1">
        <v>3.7701842344696451E-2</v>
      </c>
    </row>
    <row r="32" spans="1:4" x14ac:dyDescent="0.3">
      <c r="A32" s="1">
        <v>49</v>
      </c>
      <c r="B32" s="2" t="s">
        <v>65</v>
      </c>
      <c r="C32" s="1">
        <v>0.72112100584152439</v>
      </c>
      <c r="D32" s="1">
        <v>0.10690682128566482</v>
      </c>
    </row>
    <row r="33" spans="1:4" x14ac:dyDescent="0.3">
      <c r="A33" s="1">
        <v>50</v>
      </c>
      <c r="B33" s="2" t="s">
        <v>66</v>
      </c>
      <c r="C33" s="1">
        <v>0.7553747033400916</v>
      </c>
      <c r="D33" s="1">
        <v>3.3536887811245773E-2</v>
      </c>
    </row>
    <row r="34" spans="1:4" x14ac:dyDescent="0.3">
      <c r="A34" s="1">
        <v>51</v>
      </c>
      <c r="B34" s="2" t="s">
        <v>67</v>
      </c>
      <c r="C34" s="1">
        <v>0.53355698168695576</v>
      </c>
      <c r="D34" s="1">
        <v>0.36337348184717905</v>
      </c>
    </row>
    <row r="35" spans="1:4" x14ac:dyDescent="0.3">
      <c r="A35" s="1">
        <v>52</v>
      </c>
      <c r="B35" s="2" t="s">
        <v>68</v>
      </c>
      <c r="C35" s="1">
        <v>0.67169988808839198</v>
      </c>
      <c r="D35" s="1">
        <v>0.47956045834926786</v>
      </c>
    </row>
    <row r="36" spans="1:4" x14ac:dyDescent="0.3">
      <c r="A36" s="1">
        <v>53</v>
      </c>
      <c r="B36" s="2" t="s">
        <v>69</v>
      </c>
      <c r="C36" s="1">
        <v>0.46585699402466768</v>
      </c>
      <c r="D36" s="1">
        <v>0.38831134716885141</v>
      </c>
    </row>
    <row r="37" spans="1:4" x14ac:dyDescent="0.3">
      <c r="A37" s="1">
        <v>54</v>
      </c>
      <c r="B37" s="2" t="s">
        <v>70</v>
      </c>
      <c r="C37" s="1">
        <v>1.4555246977313945</v>
      </c>
      <c r="D37" s="1">
        <v>1.5520759692686563E-2</v>
      </c>
    </row>
    <row r="38" spans="1:4" s="16" customFormat="1" x14ac:dyDescent="0.3">
      <c r="A38" s="16">
        <v>55</v>
      </c>
      <c r="B38" s="17" t="s">
        <v>71</v>
      </c>
      <c r="C38" s="16">
        <v>0.36464813280802416</v>
      </c>
      <c r="D38" s="16">
        <v>8.5281695668320084E-2</v>
      </c>
    </row>
    <row r="39" spans="1:4" s="16" customFormat="1" x14ac:dyDescent="0.3">
      <c r="A39" s="16">
        <v>56</v>
      </c>
      <c r="B39" s="17" t="s">
        <v>72</v>
      </c>
      <c r="C39" s="16">
        <v>0.41947205878564064</v>
      </c>
      <c r="D39" s="16">
        <v>8.9068258623433538E-2</v>
      </c>
    </row>
    <row r="40" spans="1:4" x14ac:dyDescent="0.3">
      <c r="A40" s="1">
        <v>57</v>
      </c>
      <c r="B40" s="2" t="s">
        <v>73</v>
      </c>
      <c r="C40" s="1">
        <v>0.58868079459838518</v>
      </c>
      <c r="D40" s="1">
        <v>0.18400305091110164</v>
      </c>
    </row>
    <row r="41" spans="1:4" x14ac:dyDescent="0.3">
      <c r="A41" s="1">
        <v>58</v>
      </c>
      <c r="B41" s="2" t="s">
        <v>74</v>
      </c>
      <c r="C41" s="1">
        <v>0.38971695139787133</v>
      </c>
      <c r="D41" s="1">
        <v>9.4696555235200167E-2</v>
      </c>
    </row>
    <row r="42" spans="1:4" x14ac:dyDescent="0.3">
      <c r="A42" s="1">
        <v>59</v>
      </c>
      <c r="B42" s="2" t="s">
        <v>75</v>
      </c>
      <c r="C42" s="1">
        <v>0.38844054133366829</v>
      </c>
      <c r="D42" s="1">
        <v>9.4945965442652019E-2</v>
      </c>
    </row>
    <row r="43" spans="1:4" x14ac:dyDescent="0.3">
      <c r="A43" s="1">
        <v>60</v>
      </c>
      <c r="B43" s="2" t="s">
        <v>76</v>
      </c>
      <c r="C43" s="1">
        <v>0.66809924341804405</v>
      </c>
      <c r="D43" s="1">
        <v>0.26384005063626553</v>
      </c>
    </row>
    <row r="44" spans="1:4" x14ac:dyDescent="0.3">
      <c r="A44" s="1">
        <v>61</v>
      </c>
      <c r="B44" s="2" t="s">
        <v>77</v>
      </c>
      <c r="C44" s="1">
        <v>0.56057608453192087</v>
      </c>
      <c r="D44" s="1">
        <v>0.50539200081541114</v>
      </c>
    </row>
    <row r="45" spans="1:4" x14ac:dyDescent="0.3">
      <c r="A45" s="1">
        <v>62</v>
      </c>
      <c r="B45" s="2" t="s">
        <v>78</v>
      </c>
      <c r="C45" s="1">
        <v>1.5485900183171462</v>
      </c>
      <c r="D45" s="1">
        <v>0.18470850633059221</v>
      </c>
    </row>
    <row r="46" spans="1:4" x14ac:dyDescent="0.3">
      <c r="A46" s="1">
        <v>63</v>
      </c>
      <c r="B46" s="2" t="s">
        <v>79</v>
      </c>
      <c r="C46" s="1">
        <v>1.4856901025012501</v>
      </c>
      <c r="D46" s="1">
        <v>3.3740108120962745E-2</v>
      </c>
    </row>
    <row r="47" spans="1:4" x14ac:dyDescent="0.3">
      <c r="A47" s="1">
        <v>64</v>
      </c>
      <c r="B47" s="2" t="s">
        <v>80</v>
      </c>
      <c r="C47" s="1">
        <v>1.4617042766461825</v>
      </c>
      <c r="D47" s="1">
        <v>3.6722230239990737E-2</v>
      </c>
    </row>
    <row r="48" spans="1:4" x14ac:dyDescent="0.3">
      <c r="A48" s="1">
        <v>65</v>
      </c>
      <c r="B48" s="2" t="s">
        <v>81</v>
      </c>
      <c r="C48" s="1">
        <v>1.4583642953143086</v>
      </c>
      <c r="D48" s="1">
        <v>4.8024862268717675E-2</v>
      </c>
    </row>
    <row r="49" spans="1:4" x14ac:dyDescent="0.3">
      <c r="A49" s="1">
        <v>66</v>
      </c>
      <c r="B49" s="2" t="s">
        <v>82</v>
      </c>
      <c r="C49" s="1">
        <v>1.4533263163195673</v>
      </c>
      <c r="D49" s="1">
        <v>4.2700883048195144E-2</v>
      </c>
    </row>
    <row r="50" spans="1:4" x14ac:dyDescent="0.3">
      <c r="A50" s="1">
        <v>68</v>
      </c>
      <c r="B50" s="2" t="s">
        <v>84</v>
      </c>
      <c r="C50" s="1">
        <v>1.4790671598034448</v>
      </c>
      <c r="D50" s="1">
        <v>3.7696036620705677E-2</v>
      </c>
    </row>
    <row r="51" spans="1:4" x14ac:dyDescent="0.3">
      <c r="A51" s="1">
        <v>74</v>
      </c>
      <c r="B51" s="2" t="s">
        <v>90</v>
      </c>
      <c r="C51" s="1">
        <v>1.2541121660949941</v>
      </c>
      <c r="D51" s="1">
        <v>0.63010603824748146</v>
      </c>
    </row>
    <row r="52" spans="1:4" x14ac:dyDescent="0.3">
      <c r="A52" s="1">
        <v>75</v>
      </c>
      <c r="B52" s="2" t="s">
        <v>91</v>
      </c>
      <c r="C52" s="1">
        <v>0.56617870116080382</v>
      </c>
      <c r="D52" s="1">
        <v>1.7302932972369116E-2</v>
      </c>
    </row>
    <row r="53" spans="1:4" x14ac:dyDescent="0.3">
      <c r="A53" s="1">
        <v>78</v>
      </c>
      <c r="B53" s="2" t="s">
        <v>94</v>
      </c>
      <c r="C53" s="1">
        <v>0.59022390739944997</v>
      </c>
      <c r="D53" s="1">
        <v>0.23816588576510722</v>
      </c>
    </row>
    <row r="54" spans="1:4" x14ac:dyDescent="0.3">
      <c r="A54" s="1">
        <v>80</v>
      </c>
      <c r="B54" s="2" t="s">
        <v>96</v>
      </c>
      <c r="C54" s="1">
        <v>0.43877776179568923</v>
      </c>
      <c r="D54" s="1">
        <v>0.27200066981803322</v>
      </c>
    </row>
    <row r="55" spans="1:4" x14ac:dyDescent="0.3">
      <c r="A55" s="1">
        <v>82</v>
      </c>
      <c r="B55" s="2" t="s">
        <v>98</v>
      </c>
      <c r="C55" s="1">
        <v>0.67337434892313075</v>
      </c>
      <c r="D55" s="1">
        <v>0.75180293392417163</v>
      </c>
    </row>
    <row r="56" spans="1:4" x14ac:dyDescent="0.3">
      <c r="A56" s="1">
        <v>83</v>
      </c>
      <c r="B56" s="2" t="s">
        <v>99</v>
      </c>
      <c r="C56" s="1">
        <v>0.65584598813311601</v>
      </c>
      <c r="D56" s="1">
        <v>0.28864585907688545</v>
      </c>
    </row>
    <row r="57" spans="1:4" x14ac:dyDescent="0.3">
      <c r="A57" s="1">
        <v>84</v>
      </c>
      <c r="B57" s="2" t="s">
        <v>100</v>
      </c>
      <c r="C57" s="1">
        <v>0.13175467880797564</v>
      </c>
      <c r="D57" s="1">
        <v>8.0199489179634806E-2</v>
      </c>
    </row>
    <row r="58" spans="1:4" x14ac:dyDescent="0.3">
      <c r="A58" s="1">
        <v>85</v>
      </c>
      <c r="B58" s="2" t="s">
        <v>101</v>
      </c>
      <c r="C58" s="1">
        <v>0.67009182844052584</v>
      </c>
      <c r="D58" s="1">
        <v>0.18352973451985241</v>
      </c>
    </row>
    <row r="59" spans="1:4" x14ac:dyDescent="0.3">
      <c r="A59" s="1">
        <v>87</v>
      </c>
      <c r="B59" s="2" t="s">
        <v>103</v>
      </c>
      <c r="C59" s="1">
        <v>0.70878015073304645</v>
      </c>
      <c r="D59" s="1">
        <v>0.20542728899660725</v>
      </c>
    </row>
    <row r="60" spans="1:4" x14ac:dyDescent="0.3">
      <c r="A60" s="1">
        <v>91</v>
      </c>
      <c r="B60" s="2" t="s">
        <v>107</v>
      </c>
      <c r="C60" s="1">
        <v>0.65222078872044287</v>
      </c>
      <c r="D60" s="1">
        <v>0.13127636164079221</v>
      </c>
    </row>
    <row r="61" spans="1:4" x14ac:dyDescent="0.3">
      <c r="A61" s="1">
        <v>92</v>
      </c>
      <c r="B61" s="2" t="s">
        <v>108</v>
      </c>
      <c r="C61" s="1">
        <v>0.16671159112475023</v>
      </c>
      <c r="D61" s="1">
        <v>6.257176803123761E-2</v>
      </c>
    </row>
    <row r="62" spans="1:4" x14ac:dyDescent="0.3">
      <c r="A62" s="1">
        <v>93</v>
      </c>
      <c r="B62" s="2" t="s">
        <v>109</v>
      </c>
      <c r="C62" s="1">
        <v>0.23351761751021211</v>
      </c>
      <c r="D62" s="1">
        <v>1.3590794458358734E-3</v>
      </c>
    </row>
    <row r="63" spans="1:4" x14ac:dyDescent="0.3">
      <c r="A63" s="1">
        <v>94</v>
      </c>
      <c r="B63" s="2" t="s">
        <v>110</v>
      </c>
      <c r="C63" s="1">
        <v>0.23434566567808005</v>
      </c>
      <c r="D63" s="1">
        <v>5.1520631303475825E-2</v>
      </c>
    </row>
    <row r="64" spans="1:4" x14ac:dyDescent="0.3">
      <c r="A64" s="1">
        <v>95</v>
      </c>
      <c r="B64" s="2" t="s">
        <v>111</v>
      </c>
      <c r="C64" s="1">
        <v>0.31420994053920476</v>
      </c>
      <c r="D64" s="1">
        <v>0.18794646938835352</v>
      </c>
    </row>
    <row r="65" spans="1:4" x14ac:dyDescent="0.3">
      <c r="A65" s="1">
        <v>98</v>
      </c>
      <c r="B65" s="2" t="s">
        <v>114</v>
      </c>
      <c r="C65" s="1">
        <v>0.78405501458632887</v>
      </c>
      <c r="D65" s="1">
        <v>0.63735283201292914</v>
      </c>
    </row>
    <row r="66" spans="1:4" x14ac:dyDescent="0.3">
      <c r="A66" s="1">
        <v>100</v>
      </c>
      <c r="B66" s="2" t="s">
        <v>116</v>
      </c>
      <c r="C66" s="1">
        <v>1.3475123366986579</v>
      </c>
      <c r="D66" s="1">
        <v>0.1293922888850963</v>
      </c>
    </row>
    <row r="67" spans="1:4" x14ac:dyDescent="0.3">
      <c r="A67" s="1">
        <v>102</v>
      </c>
      <c r="B67" s="2" t="s">
        <v>118</v>
      </c>
      <c r="C67" s="1">
        <v>1.2757670745329075</v>
      </c>
      <c r="D67" s="1">
        <v>1.1166249830221717E-2</v>
      </c>
    </row>
    <row r="68" spans="1:4" x14ac:dyDescent="0.3">
      <c r="A68" s="1">
        <v>103</v>
      </c>
      <c r="B68" s="2" t="s">
        <v>119</v>
      </c>
      <c r="C68" s="1">
        <v>1.5609362527719335</v>
      </c>
      <c r="D68" s="1">
        <v>0.11010396856895334</v>
      </c>
    </row>
    <row r="69" spans="1:4" x14ac:dyDescent="0.3">
      <c r="A69" s="1">
        <v>104</v>
      </c>
      <c r="B69" s="2" t="s">
        <v>120</v>
      </c>
      <c r="C69" s="1">
        <v>1.7120015063971616</v>
      </c>
      <c r="D69" s="1">
        <v>7.7107002589251072E-2</v>
      </c>
    </row>
    <row r="70" spans="1:4" x14ac:dyDescent="0.3">
      <c r="A70" s="1">
        <v>105</v>
      </c>
      <c r="B70" s="2" t="s">
        <v>121</v>
      </c>
      <c r="C70" s="1">
        <v>1.2321892920155075</v>
      </c>
      <c r="D70" s="1">
        <v>5.5838889095772733E-2</v>
      </c>
    </row>
    <row r="71" spans="1:4" x14ac:dyDescent="0.3">
      <c r="A71" s="1">
        <v>108</v>
      </c>
      <c r="B71" s="2" t="s">
        <v>124</v>
      </c>
      <c r="C71" s="1">
        <v>0.35831415297970959</v>
      </c>
      <c r="D71" s="1">
        <v>0.10824593537877185</v>
      </c>
    </row>
  </sheetData>
  <sortState xmlns:xlrd2="http://schemas.microsoft.com/office/spreadsheetml/2017/richdata2" ref="A1:D112">
    <sortCondition ref="A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>
      <selection activeCell="A3" sqref="A3:XFD3"/>
    </sheetView>
  </sheetViews>
  <sheetFormatPr defaultColWidth="9.08984375" defaultRowHeight="14" x14ac:dyDescent="0.3"/>
  <cols>
    <col min="1" max="1" width="9.08984375" style="1"/>
    <col min="2" max="2" width="41.453125" style="1" customWidth="1"/>
    <col min="3" max="3" width="12" style="1" bestFit="1" customWidth="1"/>
    <col min="4" max="4" width="14" style="1" bestFit="1" customWidth="1"/>
    <col min="5" max="16384" width="9.08984375" style="1"/>
  </cols>
  <sheetData>
    <row r="1" spans="1:4" x14ac:dyDescent="0.3">
      <c r="A1" s="1" t="s">
        <v>13</v>
      </c>
      <c r="B1" s="2" t="s">
        <v>126</v>
      </c>
      <c r="C1" s="3" t="s">
        <v>15</v>
      </c>
      <c r="D1" s="1" t="s">
        <v>16</v>
      </c>
    </row>
    <row r="2" spans="1:4" x14ac:dyDescent="0.3">
      <c r="A2" s="1">
        <v>3</v>
      </c>
      <c r="B2" s="2" t="s">
        <v>19</v>
      </c>
      <c r="C2" s="1">
        <v>0.23071780809037098</v>
      </c>
      <c r="D2" s="1">
        <v>1.7711022153588205E-2</v>
      </c>
    </row>
    <row r="3" spans="1:4" s="16" customFormat="1" x14ac:dyDescent="0.3">
      <c r="A3" s="16">
        <v>4</v>
      </c>
      <c r="B3" s="17" t="s">
        <v>20</v>
      </c>
      <c r="C3" s="16">
        <v>0.24030313107043128</v>
      </c>
      <c r="D3" s="16">
        <v>1.3390873073545261E-2</v>
      </c>
    </row>
    <row r="4" spans="1:4" x14ac:dyDescent="0.3">
      <c r="A4" s="1">
        <v>5</v>
      </c>
      <c r="B4" s="2" t="s">
        <v>21</v>
      </c>
      <c r="C4" s="1">
        <v>0.19288161822255948</v>
      </c>
      <c r="D4" s="1">
        <v>2.9984320771825362E-2</v>
      </c>
    </row>
    <row r="5" spans="1:4" x14ac:dyDescent="0.3">
      <c r="A5" s="1">
        <v>12</v>
      </c>
      <c r="B5" s="2" t="s">
        <v>28</v>
      </c>
      <c r="C5" s="1">
        <v>0.1399064617638795</v>
      </c>
      <c r="D5" s="1">
        <v>4.1172864523700815E-2</v>
      </c>
    </row>
    <row r="6" spans="1:4" x14ac:dyDescent="0.3">
      <c r="A6" s="1">
        <v>18</v>
      </c>
      <c r="B6" s="2" t="s">
        <v>34</v>
      </c>
      <c r="C6" s="1">
        <v>1.5365619493740794</v>
      </c>
      <c r="D6" s="1">
        <v>1.5557532900857363E-2</v>
      </c>
    </row>
    <row r="7" spans="1:4" x14ac:dyDescent="0.3">
      <c r="A7" s="1">
        <v>32</v>
      </c>
      <c r="B7" s="2" t="s">
        <v>48</v>
      </c>
      <c r="C7" s="1">
        <v>2.4957683960391503</v>
      </c>
      <c r="D7" s="1">
        <v>3.8197547309826592E-3</v>
      </c>
    </row>
    <row r="8" spans="1:4" x14ac:dyDescent="0.3">
      <c r="A8" s="1">
        <v>35</v>
      </c>
      <c r="B8" s="2" t="s">
        <v>51</v>
      </c>
      <c r="C8" s="1">
        <v>0.67855520415355508</v>
      </c>
      <c r="D8" s="1">
        <v>1.6484782507143702E-2</v>
      </c>
    </row>
    <row r="9" spans="1:4" x14ac:dyDescent="0.3">
      <c r="A9" s="1">
        <v>38</v>
      </c>
      <c r="B9" s="2" t="s">
        <v>54</v>
      </c>
      <c r="C9" s="1">
        <v>1.6005091015347761</v>
      </c>
      <c r="D9" s="1">
        <v>3.1468863454539954E-2</v>
      </c>
    </row>
    <row r="10" spans="1:4" x14ac:dyDescent="0.3">
      <c r="A10" s="1">
        <v>45</v>
      </c>
      <c r="B10" s="2" t="s">
        <v>61</v>
      </c>
      <c r="C10" s="1">
        <v>0.7469826334392804</v>
      </c>
      <c r="D10" s="1">
        <v>2.9952821554298362E-2</v>
      </c>
    </row>
    <row r="11" spans="1:4" x14ac:dyDescent="0.3">
      <c r="A11" s="1">
        <v>46</v>
      </c>
      <c r="B11" s="2" t="s">
        <v>62</v>
      </c>
      <c r="C11" s="1">
        <v>0.74688318289297517</v>
      </c>
      <c r="D11" s="1">
        <v>2.7812636750683902E-2</v>
      </c>
    </row>
    <row r="12" spans="1:4" x14ac:dyDescent="0.3">
      <c r="A12" s="1">
        <v>47</v>
      </c>
      <c r="B12" s="2" t="s">
        <v>63</v>
      </c>
      <c r="C12" s="1">
        <v>0.76119754544193841</v>
      </c>
      <c r="D12" s="1">
        <v>3.7701842344696451E-2</v>
      </c>
    </row>
    <row r="13" spans="1:4" x14ac:dyDescent="0.3">
      <c r="A13" s="1">
        <v>50</v>
      </c>
      <c r="B13" s="2" t="s">
        <v>66</v>
      </c>
      <c r="C13" s="1">
        <v>0.7553747033400916</v>
      </c>
      <c r="D13" s="1">
        <v>3.3536887811245773E-2</v>
      </c>
    </row>
    <row r="14" spans="1:4" x14ac:dyDescent="0.3">
      <c r="A14" s="1">
        <v>54</v>
      </c>
      <c r="B14" s="2" t="s">
        <v>70</v>
      </c>
      <c r="C14" s="1">
        <v>1.4555246977313945</v>
      </c>
      <c r="D14" s="1">
        <v>1.5520759692686563E-2</v>
      </c>
    </row>
    <row r="15" spans="1:4" x14ac:dyDescent="0.3">
      <c r="A15" s="1">
        <v>63</v>
      </c>
      <c r="B15" s="2" t="s">
        <v>79</v>
      </c>
      <c r="C15" s="1">
        <v>1.4856901025012501</v>
      </c>
      <c r="D15" s="1">
        <v>3.3740108120962745E-2</v>
      </c>
    </row>
    <row r="16" spans="1:4" x14ac:dyDescent="0.3">
      <c r="A16" s="1">
        <v>64</v>
      </c>
      <c r="B16" s="2" t="s">
        <v>80</v>
      </c>
      <c r="C16" s="1">
        <v>1.4617042766461825</v>
      </c>
      <c r="D16" s="1">
        <v>3.6722230239990737E-2</v>
      </c>
    </row>
    <row r="17" spans="1:4" x14ac:dyDescent="0.3">
      <c r="A17" s="1">
        <v>65</v>
      </c>
      <c r="B17" s="2" t="s">
        <v>81</v>
      </c>
      <c r="C17" s="1">
        <v>1.4583642953143086</v>
      </c>
      <c r="D17" s="1">
        <v>4.8024862268717675E-2</v>
      </c>
    </row>
    <row r="18" spans="1:4" x14ac:dyDescent="0.3">
      <c r="A18" s="1">
        <v>66</v>
      </c>
      <c r="B18" s="2" t="s">
        <v>82</v>
      </c>
      <c r="C18" s="1">
        <v>1.4533263163195673</v>
      </c>
      <c r="D18" s="1">
        <v>4.2700883048195144E-2</v>
      </c>
    </row>
    <row r="19" spans="1:4" x14ac:dyDescent="0.3">
      <c r="A19" s="1">
        <v>68</v>
      </c>
      <c r="B19" s="2" t="s">
        <v>84</v>
      </c>
      <c r="C19" s="1">
        <v>1.4790671598034448</v>
      </c>
      <c r="D19" s="1">
        <v>3.7696036620705677E-2</v>
      </c>
    </row>
    <row r="20" spans="1:4" x14ac:dyDescent="0.3">
      <c r="A20" s="1">
        <v>75</v>
      </c>
      <c r="B20" s="2" t="s">
        <v>91</v>
      </c>
      <c r="C20" s="1">
        <v>0.56617870116080382</v>
      </c>
      <c r="D20" s="1">
        <v>1.7302932972369116E-2</v>
      </c>
    </row>
    <row r="21" spans="1:4" x14ac:dyDescent="0.3">
      <c r="A21" s="1">
        <v>93</v>
      </c>
      <c r="B21" s="2" t="s">
        <v>109</v>
      </c>
      <c r="C21" s="1">
        <v>0.23351761751021211</v>
      </c>
      <c r="D21" s="1">
        <v>1.3590794458358734E-3</v>
      </c>
    </row>
    <row r="22" spans="1:4" x14ac:dyDescent="0.3">
      <c r="A22" s="1">
        <v>102</v>
      </c>
      <c r="B22" s="2" t="s">
        <v>118</v>
      </c>
      <c r="C22" s="1">
        <v>1.2757670745329075</v>
      </c>
      <c r="D22" s="1">
        <v>1.1166249830221717E-2</v>
      </c>
    </row>
  </sheetData>
  <sortState xmlns:xlrd2="http://schemas.microsoft.com/office/spreadsheetml/2017/richdata2" ref="A2:D113">
    <sortCondition ref="A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2"/>
  <sheetViews>
    <sheetView topLeftCell="A13" workbookViewId="0">
      <selection activeCell="B23" sqref="B1:B1048576"/>
    </sheetView>
  </sheetViews>
  <sheetFormatPr defaultColWidth="9.08984375" defaultRowHeight="14" x14ac:dyDescent="0.3"/>
  <cols>
    <col min="1" max="1" width="9.08984375" style="7"/>
    <col min="2" max="2" width="41.453125" style="7" customWidth="1"/>
    <col min="3" max="3" width="23.90625" style="7" bestFit="1" customWidth="1"/>
    <col min="4" max="4" width="22.90625" style="7" bestFit="1" customWidth="1"/>
    <col min="5" max="12" width="23.90625" style="7" bestFit="1" customWidth="1"/>
    <col min="13" max="13" width="12" style="7" bestFit="1" customWidth="1"/>
    <col min="14" max="14" width="14" style="7" bestFit="1" customWidth="1"/>
    <col min="15" max="16384" width="9.08984375" style="7"/>
  </cols>
  <sheetData>
    <row r="1" spans="1:14" x14ac:dyDescent="0.3">
      <c r="C1" s="8" t="s">
        <v>129</v>
      </c>
      <c r="D1" s="8" t="s">
        <v>129</v>
      </c>
      <c r="E1" s="8" t="s">
        <v>129</v>
      </c>
      <c r="F1" s="8" t="s">
        <v>129</v>
      </c>
      <c r="G1" s="8" t="s">
        <v>129</v>
      </c>
      <c r="H1" s="8" t="s">
        <v>130</v>
      </c>
      <c r="I1" s="8" t="s">
        <v>130</v>
      </c>
      <c r="J1" s="8" t="s">
        <v>130</v>
      </c>
      <c r="K1" s="8" t="s">
        <v>130</v>
      </c>
      <c r="L1" s="8" t="s">
        <v>130</v>
      </c>
    </row>
    <row r="2" spans="1:14" x14ac:dyDescent="0.3">
      <c r="B2" s="9" t="s">
        <v>2</v>
      </c>
      <c r="C2" s="9" t="s">
        <v>131</v>
      </c>
      <c r="D2" s="9" t="s">
        <v>132</v>
      </c>
      <c r="E2" s="9" t="s">
        <v>133</v>
      </c>
      <c r="F2" s="9" t="s">
        <v>134</v>
      </c>
      <c r="G2" s="9" t="s">
        <v>135</v>
      </c>
      <c r="H2" s="9" t="s">
        <v>136</v>
      </c>
      <c r="I2" s="9" t="s">
        <v>137</v>
      </c>
      <c r="J2" s="9" t="s">
        <v>138</v>
      </c>
      <c r="K2" s="9" t="s">
        <v>139</v>
      </c>
      <c r="L2" s="9" t="s">
        <v>140</v>
      </c>
    </row>
    <row r="3" spans="1:14" x14ac:dyDescent="0.3">
      <c r="A3" s="7" t="s">
        <v>13</v>
      </c>
      <c r="B3" s="9" t="s">
        <v>14</v>
      </c>
      <c r="C3" s="9">
        <v>15</v>
      </c>
      <c r="D3" s="9">
        <v>3</v>
      </c>
      <c r="E3" s="9">
        <v>18</v>
      </c>
      <c r="F3" s="9">
        <v>21</v>
      </c>
      <c r="G3" s="9">
        <v>24</v>
      </c>
      <c r="H3" s="9">
        <v>17</v>
      </c>
      <c r="I3" s="9">
        <v>19</v>
      </c>
      <c r="J3" s="9">
        <v>20</v>
      </c>
      <c r="K3" s="9">
        <v>25</v>
      </c>
      <c r="L3" s="9">
        <v>7</v>
      </c>
      <c r="M3" s="7" t="s">
        <v>15</v>
      </c>
      <c r="N3" s="7" t="s">
        <v>16</v>
      </c>
    </row>
    <row r="4" spans="1:14" x14ac:dyDescent="0.3">
      <c r="A4" s="7">
        <v>1</v>
      </c>
      <c r="B4" s="9" t="s">
        <v>17</v>
      </c>
      <c r="C4" s="9">
        <v>2.9329530260681342</v>
      </c>
      <c r="D4" s="9">
        <v>1.8384392150899882</v>
      </c>
      <c r="E4" s="9">
        <v>1.7254198888651697</v>
      </c>
      <c r="F4" s="9">
        <v>1.7927297457142413</v>
      </c>
      <c r="G4" s="9">
        <v>1.7103698463573631</v>
      </c>
      <c r="H4" s="9">
        <v>3.8799847752816263</v>
      </c>
      <c r="I4" s="9">
        <v>0.88387151833849276</v>
      </c>
      <c r="J4" s="9">
        <v>1.6419081976239376</v>
      </c>
      <c r="K4" s="9">
        <v>1.810352532988686</v>
      </c>
      <c r="L4" s="9">
        <v>0.5066306891830703</v>
      </c>
      <c r="M4" s="7">
        <f>AVERAGE(H4:L4)/AVERAGE(C4:G4)</f>
        <v>0.87228247166850714</v>
      </c>
      <c r="N4" s="7">
        <f>_xlfn.T.TEST(C4:G4,H4:L4,2,2)</f>
        <v>0.69593461228746323</v>
      </c>
    </row>
    <row r="5" spans="1:14" x14ac:dyDescent="0.3">
      <c r="A5" s="7">
        <v>2</v>
      </c>
      <c r="B5" s="9" t="s">
        <v>18</v>
      </c>
      <c r="C5" s="9">
        <v>2.926313209153184</v>
      </c>
      <c r="D5" s="9">
        <v>1.8395531150399389</v>
      </c>
      <c r="E5" s="9">
        <v>1.7164884137014078</v>
      </c>
      <c r="F5" s="9">
        <v>1.7919614067260279</v>
      </c>
      <c r="G5" s="9">
        <v>1.7315780801225813</v>
      </c>
      <c r="H5" s="9">
        <v>3.8728685547073955</v>
      </c>
      <c r="I5" s="9">
        <v>0.87772324578367544</v>
      </c>
      <c r="J5" s="9">
        <v>1.6436186938744963</v>
      </c>
      <c r="K5" s="9">
        <v>1.8023871338523159</v>
      </c>
      <c r="L5" s="9">
        <v>0.5200439599564769</v>
      </c>
      <c r="M5" s="7">
        <f t="shared" ref="M5:M68" si="0">AVERAGE(H5:L5)/AVERAGE(C5:G5)</f>
        <v>0.87115068302634635</v>
      </c>
      <c r="N5" s="7">
        <f t="shared" ref="N5:N68" si="1">_xlfn.T.TEST(C5:G5,H5:L5,2,2)</f>
        <v>0.69189119833254686</v>
      </c>
    </row>
    <row r="6" spans="1:14" x14ac:dyDescent="0.3">
      <c r="A6" s="7">
        <v>3</v>
      </c>
      <c r="B6" s="9" t="s">
        <v>19</v>
      </c>
      <c r="C6" s="9">
        <v>2.5495872322061016E-2</v>
      </c>
      <c r="D6" s="9">
        <v>4.0234374200281246E-2</v>
      </c>
      <c r="E6" s="9">
        <v>3.7167654481998075E-2</v>
      </c>
      <c r="F6" s="9">
        <v>0.31715145308904708</v>
      </c>
      <c r="G6" s="9">
        <v>7.1222442109411949E-2</v>
      </c>
      <c r="H6" s="9">
        <v>4.5233029320950364E-2</v>
      </c>
      <c r="I6" s="9">
        <v>0.12946562929805902</v>
      </c>
      <c r="J6" s="9">
        <v>5.0321208585221593E-2</v>
      </c>
      <c r="K6" s="9">
        <v>0.59598197545437892</v>
      </c>
      <c r="L6" s="9">
        <v>5.3742001761454765E-2</v>
      </c>
      <c r="M6" s="7">
        <f t="shared" si="0"/>
        <v>1.78057004530129</v>
      </c>
      <c r="N6" s="7">
        <f t="shared" si="1"/>
        <v>0.54021370397593049</v>
      </c>
    </row>
    <row r="7" spans="1:14" s="13" customFormat="1" x14ac:dyDescent="0.3">
      <c r="A7" s="13">
        <v>4</v>
      </c>
      <c r="B7" s="14" t="s">
        <v>20</v>
      </c>
      <c r="C7" s="14">
        <v>2.5473289217989283E-2</v>
      </c>
      <c r="D7" s="14">
        <v>3.7139230267803337E-2</v>
      </c>
      <c r="E7" s="14">
        <v>3.5116063441195278E-2</v>
      </c>
      <c r="F7" s="14">
        <v>0.33341041249427977</v>
      </c>
      <c r="G7" s="14">
        <v>4.9575589295056864E-2</v>
      </c>
      <c r="H7" s="14">
        <v>5.3350790397404375E-2</v>
      </c>
      <c r="I7" s="14">
        <v>9.9515791788311062E-2</v>
      </c>
      <c r="J7" s="14">
        <v>4.9979884416248066E-2</v>
      </c>
      <c r="K7" s="14">
        <v>0.59036754806059466</v>
      </c>
      <c r="L7" s="14">
        <v>5.1872517894560752E-2</v>
      </c>
      <c r="M7" s="13">
        <f t="shared" si="0"/>
        <v>1.7579798063664214</v>
      </c>
      <c r="N7" s="13">
        <f t="shared" si="1"/>
        <v>0.56463496910237776</v>
      </c>
    </row>
    <row r="8" spans="1:14" x14ac:dyDescent="0.3">
      <c r="A8" s="7">
        <v>5</v>
      </c>
      <c r="B8" s="9" t="s">
        <v>21</v>
      </c>
      <c r="C8" s="9">
        <v>4.4557350856307111E-2</v>
      </c>
      <c r="D8" s="9">
        <v>5.8174993072389339E-2</v>
      </c>
      <c r="E8" s="9">
        <v>4.6242681710199955E-2</v>
      </c>
      <c r="F8" s="9">
        <v>4.7187054059168697E-2</v>
      </c>
      <c r="G8" s="9">
        <v>5.9083207537605431E-2</v>
      </c>
      <c r="H8" s="9">
        <v>7.8032223228140185E-2</v>
      </c>
      <c r="I8" s="9">
        <v>0.29072480685361252</v>
      </c>
      <c r="J8" s="9">
        <v>5.7917079816886007E-2</v>
      </c>
      <c r="K8" s="9">
        <v>8.5936186987242646E-2</v>
      </c>
      <c r="L8" s="9">
        <v>9.0450676799750176E-2</v>
      </c>
      <c r="M8" s="7">
        <f t="shared" si="0"/>
        <v>2.3626723149987852</v>
      </c>
      <c r="N8" s="7">
        <f t="shared" si="1"/>
        <v>0.14442406253097803</v>
      </c>
    </row>
    <row r="9" spans="1:14" x14ac:dyDescent="0.3">
      <c r="A9" s="7">
        <v>6</v>
      </c>
      <c r="B9" s="9" t="s">
        <v>22</v>
      </c>
      <c r="C9" s="9">
        <v>0.41502823813732764</v>
      </c>
      <c r="D9" s="9">
        <v>1.7164922807205012</v>
      </c>
      <c r="E9" s="9">
        <v>0.76565418017406839</v>
      </c>
      <c r="F9" s="9">
        <v>1.2507159919637802</v>
      </c>
      <c r="G9" s="9">
        <v>1.3046547708834306</v>
      </c>
      <c r="H9" s="9">
        <v>1.1441442638303072</v>
      </c>
      <c r="I9" s="9">
        <v>0.38116079350176957</v>
      </c>
      <c r="J9" s="9">
        <v>0.89108975726707151</v>
      </c>
      <c r="K9" s="9">
        <v>1.4762047822339934</v>
      </c>
      <c r="L9" s="9">
        <v>3.3310435821890763</v>
      </c>
      <c r="M9" s="7">
        <f t="shared" si="0"/>
        <v>1.3248203485006318</v>
      </c>
      <c r="N9" s="7">
        <f t="shared" si="1"/>
        <v>0.53960787689654288</v>
      </c>
    </row>
    <row r="10" spans="1:14" x14ac:dyDescent="0.3">
      <c r="A10" s="7">
        <v>7</v>
      </c>
      <c r="B10" s="9" t="s">
        <v>23</v>
      </c>
      <c r="C10" s="9">
        <v>0.71637960149854996</v>
      </c>
      <c r="D10" s="9">
        <v>1.2619619773476443</v>
      </c>
      <c r="E10" s="9">
        <v>0.87269055161192932</v>
      </c>
      <c r="F10" s="9">
        <v>0.76160342436095618</v>
      </c>
      <c r="G10" s="9">
        <v>1.192055267057913</v>
      </c>
      <c r="H10" s="9">
        <v>1.2609055639252484</v>
      </c>
      <c r="I10" s="9">
        <v>0.49646570843943838</v>
      </c>
      <c r="J10" s="9">
        <v>0.74257346165226301</v>
      </c>
      <c r="K10" s="9">
        <v>0.91202093160878628</v>
      </c>
      <c r="L10" s="9">
        <v>1.4590201697390091</v>
      </c>
      <c r="M10" s="7">
        <f t="shared" si="0"/>
        <v>1.0137979770073642</v>
      </c>
      <c r="N10" s="7">
        <f t="shared" si="1"/>
        <v>0.95042374381879902</v>
      </c>
    </row>
    <row r="11" spans="1:14" x14ac:dyDescent="0.3">
      <c r="A11" s="7">
        <v>8</v>
      </c>
      <c r="B11" s="9" t="s">
        <v>24</v>
      </c>
      <c r="C11" s="9">
        <v>0.77508096264654291</v>
      </c>
      <c r="D11" s="9">
        <v>1.1321642924481514</v>
      </c>
      <c r="E11" s="9">
        <v>0.87800144295556193</v>
      </c>
      <c r="F11" s="9">
        <v>0.67916182629758359</v>
      </c>
      <c r="G11" s="9">
        <v>1.2121811028775855</v>
      </c>
      <c r="H11" s="9">
        <v>1.2048677312938549</v>
      </c>
      <c r="I11" s="9">
        <v>0.54954807846613241</v>
      </c>
      <c r="J11" s="9">
        <v>0.7665879065469362</v>
      </c>
      <c r="K11" s="9">
        <v>0.88728779661524904</v>
      </c>
      <c r="L11" s="9">
        <v>1.4758793395551149</v>
      </c>
      <c r="M11" s="7">
        <f t="shared" si="0"/>
        <v>1.0443873082306385</v>
      </c>
      <c r="N11" s="7">
        <f t="shared" si="1"/>
        <v>0.83515529916422904</v>
      </c>
    </row>
    <row r="12" spans="1:14" s="13" customFormat="1" x14ac:dyDescent="0.3">
      <c r="A12" s="13">
        <v>9</v>
      </c>
      <c r="B12" s="14" t="s">
        <v>25</v>
      </c>
      <c r="C12" s="14">
        <v>2.1176538032479235</v>
      </c>
      <c r="D12" s="14">
        <v>1.9674917701666979</v>
      </c>
      <c r="E12" s="14">
        <v>2.3718461110963394</v>
      </c>
      <c r="F12" s="14">
        <v>1.1085405480719857</v>
      </c>
      <c r="G12" s="14">
        <v>2.6686629898122409</v>
      </c>
      <c r="H12" s="14">
        <v>2.8365799879455231</v>
      </c>
      <c r="I12" s="14">
        <v>2.08017483630405</v>
      </c>
      <c r="J12" s="14">
        <v>1.7765452767567322</v>
      </c>
      <c r="K12" s="14">
        <v>1.5915449216963538</v>
      </c>
      <c r="L12" s="14">
        <v>1.8409572298304646</v>
      </c>
      <c r="M12" s="13">
        <f t="shared" si="0"/>
        <v>0.9894087451424739</v>
      </c>
      <c r="N12" s="13">
        <f t="shared" si="1"/>
        <v>0.95090725736197101</v>
      </c>
    </row>
    <row r="13" spans="1:14" x14ac:dyDescent="0.3">
      <c r="A13" s="7">
        <v>10</v>
      </c>
      <c r="B13" s="9" t="s">
        <v>26</v>
      </c>
      <c r="C13" s="9">
        <v>0.64207100882214041</v>
      </c>
      <c r="D13" s="9">
        <v>0.508326660267157</v>
      </c>
      <c r="E13" s="9">
        <v>0.60343330990393673</v>
      </c>
      <c r="F13" s="9">
        <v>0.50303374601834816</v>
      </c>
      <c r="G13" s="9">
        <v>0.51229001453477452</v>
      </c>
      <c r="H13" s="9">
        <v>0.71845901444330496</v>
      </c>
      <c r="I13" s="9">
        <v>0.61690939469429795</v>
      </c>
      <c r="J13" s="9">
        <v>0.6793033920624364</v>
      </c>
      <c r="K13" s="9">
        <v>0.637735852875289</v>
      </c>
      <c r="L13" s="9">
        <v>0.70716187718603274</v>
      </c>
      <c r="M13" s="7">
        <f t="shared" si="0"/>
        <v>1.2132111952009321</v>
      </c>
      <c r="N13" s="7">
        <f t="shared" si="1"/>
        <v>9.5137833746352582E-3</v>
      </c>
    </row>
    <row r="14" spans="1:14" x14ac:dyDescent="0.3">
      <c r="A14" s="7">
        <v>11</v>
      </c>
      <c r="B14" s="9" t="s">
        <v>27</v>
      </c>
      <c r="C14" s="9">
        <v>0.83036966212117702</v>
      </c>
      <c r="D14" s="9">
        <v>1.6587668599113956</v>
      </c>
      <c r="E14" s="9">
        <v>1.0524579007909718</v>
      </c>
      <c r="F14" s="9">
        <v>0.68244427150170439</v>
      </c>
      <c r="G14" s="9">
        <v>1.1902757099055741</v>
      </c>
      <c r="H14" s="9">
        <v>1.7533499781323589</v>
      </c>
      <c r="I14" s="9">
        <v>0.62070493428087847</v>
      </c>
      <c r="J14" s="9">
        <v>0.88458109496488091</v>
      </c>
      <c r="K14" s="9">
        <v>1.1606748769543866</v>
      </c>
      <c r="L14" s="9">
        <v>1.6671549449206335</v>
      </c>
      <c r="M14" s="7">
        <f t="shared" si="0"/>
        <v>1.1241434048412644</v>
      </c>
      <c r="N14" s="7">
        <f t="shared" si="1"/>
        <v>0.63973565223492934</v>
      </c>
    </row>
    <row r="15" spans="1:14" x14ac:dyDescent="0.3">
      <c r="A15" s="7">
        <v>12</v>
      </c>
      <c r="B15" s="9" t="s">
        <v>28</v>
      </c>
      <c r="C15" s="9">
        <v>3.2410271781625681</v>
      </c>
      <c r="D15" s="9">
        <v>1.8073684547995736</v>
      </c>
      <c r="E15" s="9">
        <v>1.9877903177681624</v>
      </c>
      <c r="F15" s="9">
        <v>1.4392364580858383</v>
      </c>
      <c r="G15" s="9">
        <v>1.3744118184303507</v>
      </c>
      <c r="H15" s="9">
        <v>1.5648770656969713</v>
      </c>
      <c r="I15" s="9">
        <v>0.59778519475291769</v>
      </c>
      <c r="J15" s="9">
        <v>0.81043305610642735</v>
      </c>
      <c r="K15" s="9">
        <v>1.1742464650051907</v>
      </c>
      <c r="L15" s="9">
        <v>1.2322537833951759</v>
      </c>
      <c r="M15" s="7">
        <f t="shared" si="0"/>
        <v>0.54616102574353076</v>
      </c>
      <c r="N15" s="7">
        <f t="shared" si="1"/>
        <v>4.5389501717615563E-2</v>
      </c>
    </row>
    <row r="16" spans="1:14" x14ac:dyDescent="0.3">
      <c r="A16" s="7">
        <v>13</v>
      </c>
      <c r="B16" s="9" t="s">
        <v>29</v>
      </c>
      <c r="C16" s="9">
        <v>1.0921238094428345</v>
      </c>
      <c r="D16" s="9">
        <v>0.98163118870395705</v>
      </c>
      <c r="E16" s="9">
        <v>0.71677434433157594</v>
      </c>
      <c r="F16" s="9">
        <v>1.1807321252271115</v>
      </c>
      <c r="G16" s="9">
        <v>1.1954937508732004</v>
      </c>
      <c r="H16" s="9">
        <v>1.2881031368151585</v>
      </c>
      <c r="I16" s="9">
        <v>0.57700394201044047</v>
      </c>
      <c r="J16" s="9">
        <v>0.84827544721784998</v>
      </c>
      <c r="K16" s="9">
        <v>0.9796912532937172</v>
      </c>
      <c r="L16" s="9">
        <v>1.6591037506480624</v>
      </c>
      <c r="M16" s="7">
        <f t="shared" si="0"/>
        <v>1.0358875742244968</v>
      </c>
      <c r="N16" s="7">
        <f t="shared" si="1"/>
        <v>0.86166152378859251</v>
      </c>
    </row>
    <row r="17" spans="1:14" x14ac:dyDescent="0.3">
      <c r="A17" s="7">
        <v>14</v>
      </c>
      <c r="B17" s="9" t="s">
        <v>30</v>
      </c>
      <c r="C17" s="9">
        <v>0.29939478124635405</v>
      </c>
      <c r="D17" s="9">
        <v>0.47486497791017757</v>
      </c>
      <c r="E17" s="9">
        <v>0.3774179905486601</v>
      </c>
      <c r="F17" s="9">
        <v>0.59838236995838323</v>
      </c>
      <c r="G17" s="9">
        <v>0.6826390540651146</v>
      </c>
      <c r="H17" s="9">
        <v>2.0738517028031325</v>
      </c>
      <c r="I17" s="9">
        <v>0.31697652382472963</v>
      </c>
      <c r="J17" s="9">
        <v>0.50018963996418808</v>
      </c>
      <c r="K17" s="9">
        <v>0.5966214565641923</v>
      </c>
      <c r="L17" s="9">
        <v>0.98814436706972353</v>
      </c>
      <c r="M17" s="7">
        <f t="shared" si="0"/>
        <v>1.8398426482653685</v>
      </c>
      <c r="N17" s="7">
        <f t="shared" si="1"/>
        <v>0.24029602611655274</v>
      </c>
    </row>
    <row r="18" spans="1:14" x14ac:dyDescent="0.3">
      <c r="A18" s="7">
        <v>15</v>
      </c>
      <c r="B18" s="9" t="s">
        <v>31</v>
      </c>
      <c r="C18" s="9">
        <v>1.2047923561956639</v>
      </c>
      <c r="D18" s="9">
        <v>1.691912260028982</v>
      </c>
      <c r="E18" s="9">
        <v>0.94446778880173099</v>
      </c>
      <c r="F18" s="9">
        <v>5.4506695854998526</v>
      </c>
      <c r="G18" s="9">
        <v>0.71458590526333576</v>
      </c>
      <c r="H18" s="9">
        <v>0.80151114691961323</v>
      </c>
      <c r="I18" s="9">
        <v>0.78426299997897286</v>
      </c>
      <c r="J18" s="9">
        <v>0.49879177837718963</v>
      </c>
      <c r="K18" s="9">
        <v>1.4599771022223909</v>
      </c>
      <c r="L18" s="9">
        <v>0.25629848169379199</v>
      </c>
      <c r="M18" s="7">
        <f t="shared" si="0"/>
        <v>0.37983999372955557</v>
      </c>
      <c r="N18" s="7">
        <f t="shared" si="1"/>
        <v>0.20540272752332395</v>
      </c>
    </row>
    <row r="19" spans="1:14" x14ac:dyDescent="0.3">
      <c r="A19" s="7">
        <v>16</v>
      </c>
      <c r="B19" s="9" t="s">
        <v>32</v>
      </c>
      <c r="C19" s="9">
        <v>1.4592060496768098</v>
      </c>
      <c r="D19" s="9">
        <v>1.7440287200386579</v>
      </c>
      <c r="E19" s="9">
        <v>1.0386637898930582</v>
      </c>
      <c r="F19" s="9">
        <v>8.8317273669297656</v>
      </c>
      <c r="G19" s="9">
        <v>1.3363417706966969</v>
      </c>
      <c r="H19" s="9">
        <v>1.2678398163533238</v>
      </c>
      <c r="I19" s="9">
        <v>1.1680704338700787</v>
      </c>
      <c r="J19" s="9">
        <v>0.73924269415892163</v>
      </c>
      <c r="K19" s="9">
        <v>1.3601966861814834</v>
      </c>
      <c r="L19" s="9">
        <v>0.55712254381536064</v>
      </c>
      <c r="M19" s="7">
        <f t="shared" si="0"/>
        <v>0.35339927759562717</v>
      </c>
      <c r="N19" s="7">
        <f t="shared" si="1"/>
        <v>0.24928357380523083</v>
      </c>
    </row>
    <row r="20" spans="1:14" x14ac:dyDescent="0.3">
      <c r="A20" s="7">
        <v>17</v>
      </c>
      <c r="B20" s="9" t="s">
        <v>33</v>
      </c>
      <c r="C20" s="9">
        <v>1.2330877367281381</v>
      </c>
      <c r="D20" s="9">
        <v>0.60307944086788146</v>
      </c>
      <c r="E20" s="9">
        <v>1.3896179538688771</v>
      </c>
      <c r="F20" s="9">
        <v>0.61675631612101256</v>
      </c>
      <c r="G20" s="9">
        <v>0.93018300615000216</v>
      </c>
      <c r="H20" s="9">
        <v>1.2130601213868126</v>
      </c>
      <c r="I20" s="9">
        <v>0.45658581963793571</v>
      </c>
      <c r="J20" s="9">
        <v>0.53774798036723359</v>
      </c>
      <c r="K20" s="9">
        <v>1.8125070608940994</v>
      </c>
      <c r="L20" s="9">
        <v>1.1120769328165649</v>
      </c>
      <c r="M20" s="7">
        <f t="shared" si="0"/>
        <v>1.0752721982693816</v>
      </c>
      <c r="N20" s="7">
        <f t="shared" si="1"/>
        <v>0.81307970733671886</v>
      </c>
    </row>
    <row r="21" spans="1:14" x14ac:dyDescent="0.3">
      <c r="A21" s="7">
        <v>18</v>
      </c>
      <c r="B21" s="9" t="s">
        <v>34</v>
      </c>
      <c r="C21" s="9">
        <v>1.2236279370737013</v>
      </c>
      <c r="D21" s="9">
        <v>2.5993937750005491</v>
      </c>
      <c r="E21" s="9">
        <v>2.0311989178130618</v>
      </c>
      <c r="F21" s="9">
        <v>1.1371289011131993</v>
      </c>
      <c r="G21" s="9">
        <v>2.375123931160219</v>
      </c>
      <c r="H21" s="9">
        <v>1.1813392203104036</v>
      </c>
      <c r="I21" s="9">
        <v>1.0400382992136221</v>
      </c>
      <c r="J21" s="9">
        <v>1.2350688215361822</v>
      </c>
      <c r="K21" s="9">
        <v>1.2252215629047811</v>
      </c>
      <c r="L21" s="9">
        <v>0.8087017350200727</v>
      </c>
      <c r="M21" s="7">
        <f t="shared" si="0"/>
        <v>0.58617255055121897</v>
      </c>
      <c r="N21" s="7">
        <f t="shared" si="1"/>
        <v>3.5967547824155045E-2</v>
      </c>
    </row>
    <row r="22" spans="1:14" x14ac:dyDescent="0.3">
      <c r="A22" s="7">
        <v>19</v>
      </c>
      <c r="B22" s="9" t="s">
        <v>35</v>
      </c>
      <c r="C22" s="9">
        <v>1.3884917482653474</v>
      </c>
      <c r="D22" s="9">
        <v>1.9107139368101853</v>
      </c>
      <c r="E22" s="9">
        <v>1.7474707491573114</v>
      </c>
      <c r="F22" s="9">
        <v>0.31255763819573978</v>
      </c>
      <c r="G22" s="9">
        <v>1.5178043706650939</v>
      </c>
      <c r="H22" s="9">
        <v>3.1418373504814956</v>
      </c>
      <c r="I22" s="9">
        <v>1.0128063354889472</v>
      </c>
      <c r="J22" s="9">
        <v>3.7801783768846628</v>
      </c>
      <c r="K22" s="9">
        <v>2.9185771461829604</v>
      </c>
      <c r="L22" s="9">
        <v>6.5904930812861142</v>
      </c>
      <c r="M22" s="7">
        <f t="shared" si="0"/>
        <v>2.5365413374767956</v>
      </c>
      <c r="N22" s="7">
        <f t="shared" si="1"/>
        <v>5.5718729210550107E-2</v>
      </c>
    </row>
    <row r="23" spans="1:14" s="13" customFormat="1" x14ac:dyDescent="0.3">
      <c r="A23" s="13">
        <v>20</v>
      </c>
      <c r="B23" s="14" t="s">
        <v>36</v>
      </c>
      <c r="C23" s="14">
        <v>1.72777906175767E-3</v>
      </c>
      <c r="D23" s="14">
        <v>1.3828697240379443E-2</v>
      </c>
      <c r="E23" s="14">
        <v>1.2178601059016613E-2</v>
      </c>
      <c r="F23" s="14">
        <v>1.790475975917357E-3</v>
      </c>
      <c r="G23" s="14">
        <v>5.7908408353390594E-3</v>
      </c>
      <c r="H23" s="14">
        <v>2.9920670066795989E-3</v>
      </c>
      <c r="I23" s="14">
        <v>1.3575342691334582E-2</v>
      </c>
      <c r="J23" s="14">
        <v>5.2844177028740415E-3</v>
      </c>
      <c r="K23" s="14">
        <v>2.9957790091708699E-3</v>
      </c>
      <c r="L23" s="14">
        <v>1.3408946216020637E-2</v>
      </c>
      <c r="M23" s="13">
        <f t="shared" si="0"/>
        <v>1.0832519435397654</v>
      </c>
      <c r="N23" s="13">
        <f t="shared" si="1"/>
        <v>0.87127910043209611</v>
      </c>
    </row>
    <row r="24" spans="1:14" x14ac:dyDescent="0.3">
      <c r="A24" s="7">
        <v>21</v>
      </c>
      <c r="B24" s="9" t="s">
        <v>37</v>
      </c>
      <c r="C24" s="9">
        <v>1.2363458120570603</v>
      </c>
      <c r="D24" s="9">
        <v>5.0865430311574382</v>
      </c>
      <c r="E24" s="9">
        <v>4.3114866193623254</v>
      </c>
      <c r="F24" s="9">
        <v>1.6773483455922931</v>
      </c>
      <c r="G24" s="9">
        <v>5.0687819113597063</v>
      </c>
      <c r="H24" s="9">
        <v>1.5460250685831989</v>
      </c>
      <c r="I24" s="9">
        <v>2.9665771324777706</v>
      </c>
      <c r="J24" s="9">
        <v>1.6189680774170783</v>
      </c>
      <c r="K24" s="9">
        <v>1.0395239038053177</v>
      </c>
      <c r="L24" s="9">
        <v>1.5149321163678393</v>
      </c>
      <c r="M24" s="7">
        <f t="shared" si="0"/>
        <v>0.49975682174147223</v>
      </c>
      <c r="N24" s="7">
        <f t="shared" si="1"/>
        <v>8.9249099047045338E-2</v>
      </c>
    </row>
    <row r="25" spans="1:14" x14ac:dyDescent="0.3">
      <c r="A25" s="7">
        <v>22</v>
      </c>
      <c r="B25" s="9" t="s">
        <v>38</v>
      </c>
      <c r="C25" s="9">
        <v>0.67143397147147044</v>
      </c>
      <c r="D25" s="9">
        <v>0.83542094454419125</v>
      </c>
      <c r="E25" s="9">
        <v>0.73895658996573688</v>
      </c>
      <c r="F25" s="9">
        <v>0.91867698343469906</v>
      </c>
      <c r="G25" s="9">
        <v>1.6981791841559577</v>
      </c>
      <c r="H25" s="9">
        <v>1.6334160322679903</v>
      </c>
      <c r="I25" s="9">
        <v>0.97817581024217559</v>
      </c>
      <c r="J25" s="9">
        <v>1.2591966016819918</v>
      </c>
      <c r="K25" s="9">
        <v>1.0502147948945724</v>
      </c>
      <c r="L25" s="9">
        <v>1.5497005092781813</v>
      </c>
      <c r="M25" s="7">
        <f t="shared" si="0"/>
        <v>1.3306901031983567</v>
      </c>
      <c r="N25" s="7">
        <f t="shared" si="1"/>
        <v>0.19504311910908792</v>
      </c>
    </row>
    <row r="26" spans="1:14" x14ac:dyDescent="0.3">
      <c r="A26" s="7">
        <v>23</v>
      </c>
      <c r="B26" s="9" t="s">
        <v>39</v>
      </c>
      <c r="C26" s="9">
        <v>1.2884317622524626</v>
      </c>
      <c r="D26" s="9">
        <v>1.0292192206552686</v>
      </c>
      <c r="E26" s="9">
        <v>1.042215110939654</v>
      </c>
      <c r="F26" s="9">
        <v>1.2053428517276337</v>
      </c>
      <c r="G26" s="9">
        <v>2.7516103972125254</v>
      </c>
      <c r="H26" s="9">
        <v>1.8778628130202655</v>
      </c>
      <c r="I26" s="9">
        <v>2.4808723589706938</v>
      </c>
      <c r="J26" s="9">
        <v>1.6118054788686895</v>
      </c>
      <c r="K26" s="9">
        <v>0.53839124052411202</v>
      </c>
      <c r="L26" s="9">
        <v>0.94005275552998746</v>
      </c>
      <c r="M26" s="7">
        <f t="shared" si="0"/>
        <v>1.0180632181736839</v>
      </c>
      <c r="N26" s="7">
        <f t="shared" si="1"/>
        <v>0.9568198961098181</v>
      </c>
    </row>
    <row r="27" spans="1:14" x14ac:dyDescent="0.3">
      <c r="A27" s="7">
        <v>24</v>
      </c>
      <c r="B27" s="9" t="s">
        <v>40</v>
      </c>
      <c r="C27" s="9">
        <v>1.2067506610112055</v>
      </c>
      <c r="D27" s="9">
        <v>1.7524835892017829</v>
      </c>
      <c r="E27" s="9">
        <v>1.6620018655342814</v>
      </c>
      <c r="F27" s="9">
        <v>0.71338705281502623</v>
      </c>
      <c r="G27" s="9">
        <v>2.1079448086317423</v>
      </c>
      <c r="H27" s="9">
        <v>1.8522297087170509</v>
      </c>
      <c r="I27" s="9">
        <v>1.1170765203034325</v>
      </c>
      <c r="J27" s="9">
        <v>1.0751564226309869</v>
      </c>
      <c r="K27" s="9">
        <v>1.6805604325480312</v>
      </c>
      <c r="L27" s="9">
        <v>1.5329619041574041</v>
      </c>
      <c r="M27" s="7">
        <f t="shared" si="0"/>
        <v>0.97519901875229853</v>
      </c>
      <c r="N27" s="7">
        <f t="shared" si="1"/>
        <v>0.90050936509918744</v>
      </c>
    </row>
    <row r="28" spans="1:14" x14ac:dyDescent="0.3">
      <c r="A28" s="7">
        <v>25</v>
      </c>
      <c r="B28" s="9" t="s">
        <v>41</v>
      </c>
      <c r="C28" s="9">
        <v>0.3817210045666341</v>
      </c>
      <c r="D28" s="9">
        <v>0.81438212172912816</v>
      </c>
      <c r="E28" s="9">
        <v>0.73006745224504466</v>
      </c>
      <c r="F28" s="9">
        <v>1.2898303388780663</v>
      </c>
      <c r="G28" s="9">
        <v>0.79727659141129414</v>
      </c>
      <c r="H28" s="9">
        <v>0.75224580835591603</v>
      </c>
      <c r="I28" s="9">
        <v>0.35399194572319936</v>
      </c>
      <c r="J28" s="9">
        <v>0.49171431837004903</v>
      </c>
      <c r="K28" s="9">
        <v>0.73556556070549128</v>
      </c>
      <c r="L28" s="9">
        <v>2.940484466844131</v>
      </c>
      <c r="M28" s="7">
        <f t="shared" si="0"/>
        <v>1.3141384039341224</v>
      </c>
      <c r="N28" s="7">
        <f t="shared" si="1"/>
        <v>0.6268831832834898</v>
      </c>
    </row>
    <row r="29" spans="1:14" x14ac:dyDescent="0.3">
      <c r="A29" s="7">
        <v>26</v>
      </c>
      <c r="B29" s="9" t="s">
        <v>42</v>
      </c>
      <c r="C29" s="9">
        <v>0.40639291899698493</v>
      </c>
      <c r="D29" s="9">
        <v>0.90169875602892013</v>
      </c>
      <c r="E29" s="9">
        <v>0.67352041113694161</v>
      </c>
      <c r="F29" s="9">
        <v>1.3200941590940918</v>
      </c>
      <c r="G29" s="9">
        <v>0.63288106188164139</v>
      </c>
      <c r="H29" s="9">
        <v>0.59580783886554622</v>
      </c>
      <c r="I29" s="9">
        <v>0.50365233264212805</v>
      </c>
      <c r="J29" s="9">
        <v>0.46655326954976561</v>
      </c>
      <c r="K29" s="9">
        <v>0.45834792509514444</v>
      </c>
      <c r="L29" s="9">
        <v>0.59923381907698003</v>
      </c>
      <c r="M29" s="7">
        <f t="shared" si="0"/>
        <v>0.66680314361547832</v>
      </c>
      <c r="N29" s="7">
        <f t="shared" si="1"/>
        <v>0.13505571913434383</v>
      </c>
    </row>
    <row r="30" spans="1:14" x14ac:dyDescent="0.3">
      <c r="A30" s="7">
        <v>27</v>
      </c>
      <c r="B30" s="9" t="s">
        <v>43</v>
      </c>
      <c r="C30" s="9">
        <v>0.34060510891182472</v>
      </c>
      <c r="D30" s="9">
        <v>0.23161072887969958</v>
      </c>
      <c r="E30" s="9">
        <v>0.20447119894266796</v>
      </c>
      <c r="F30" s="9">
        <v>0.8109441519712971</v>
      </c>
      <c r="G30" s="9">
        <v>0.17669668063338834</v>
      </c>
      <c r="H30" s="9">
        <v>0.63293183245186901</v>
      </c>
      <c r="I30" s="9">
        <v>0.41751437006358644</v>
      </c>
      <c r="J30" s="9">
        <v>0.22274240350082006</v>
      </c>
      <c r="K30" s="9">
        <v>0.34057107985587165</v>
      </c>
      <c r="L30" s="9">
        <v>0.13202538615056397</v>
      </c>
      <c r="M30" s="7">
        <f t="shared" si="0"/>
        <v>0.98949016356970276</v>
      </c>
      <c r="N30" s="7">
        <f t="shared" si="1"/>
        <v>0.98035323099634564</v>
      </c>
    </row>
    <row r="31" spans="1:14" x14ac:dyDescent="0.3">
      <c r="A31" s="7">
        <v>28</v>
      </c>
      <c r="B31" s="9" t="s">
        <v>44</v>
      </c>
      <c r="C31" s="9">
        <v>0.23206617757326672</v>
      </c>
      <c r="D31" s="9">
        <v>0.37828105465826983</v>
      </c>
      <c r="E31" s="9">
        <v>0.41881788528374708</v>
      </c>
      <c r="F31" s="9">
        <v>0.1698199517785734</v>
      </c>
      <c r="G31" s="9">
        <v>0.22804712067259519</v>
      </c>
      <c r="H31" s="9">
        <v>0.4081828416005116</v>
      </c>
      <c r="I31" s="9">
        <v>0.62591981071986214</v>
      </c>
      <c r="J31" s="9">
        <v>0.38444765891956012</v>
      </c>
      <c r="K31" s="9">
        <v>0.80926760013959842</v>
      </c>
      <c r="L31" s="9">
        <v>0.42562079986062723</v>
      </c>
      <c r="M31" s="7">
        <f t="shared" si="0"/>
        <v>1.8594105514203847</v>
      </c>
      <c r="N31" s="7">
        <f t="shared" si="1"/>
        <v>3.2349219365386025E-2</v>
      </c>
    </row>
    <row r="32" spans="1:14" x14ac:dyDescent="0.3">
      <c r="A32" s="7">
        <v>29</v>
      </c>
      <c r="B32" s="9" t="s">
        <v>45</v>
      </c>
      <c r="C32" s="9">
        <v>0.95371324472491292</v>
      </c>
      <c r="D32" s="9">
        <v>0.99840462210612624</v>
      </c>
      <c r="E32" s="9">
        <v>1.5127607562681045</v>
      </c>
      <c r="F32" s="9">
        <v>1.4564747584148185</v>
      </c>
      <c r="G32" s="9">
        <v>0.88249176083634051</v>
      </c>
      <c r="H32" s="9">
        <v>1.6393404239370346</v>
      </c>
      <c r="I32" s="9">
        <v>1.1279961247152006</v>
      </c>
      <c r="J32" s="9">
        <v>0.66923128721317782</v>
      </c>
      <c r="K32" s="9">
        <v>1.1050711033618537</v>
      </c>
      <c r="L32" s="9">
        <v>0.73410265893964433</v>
      </c>
      <c r="M32" s="7">
        <f t="shared" si="0"/>
        <v>0.90900798845753961</v>
      </c>
      <c r="N32" s="7">
        <f t="shared" si="1"/>
        <v>0.6424999296075764</v>
      </c>
    </row>
    <row r="33" spans="1:14" x14ac:dyDescent="0.3">
      <c r="A33" s="7">
        <v>30</v>
      </c>
      <c r="B33" s="9" t="s">
        <v>46</v>
      </c>
      <c r="C33" s="9">
        <v>0.9816788519673928</v>
      </c>
      <c r="D33" s="9">
        <v>1.0048074423463291</v>
      </c>
      <c r="E33" s="9">
        <v>1.4795648798096175</v>
      </c>
      <c r="F33" s="9">
        <v>1.4542427341168029</v>
      </c>
      <c r="G33" s="9">
        <v>0.87521251847198545</v>
      </c>
      <c r="H33" s="9">
        <v>1.6688781078479222</v>
      </c>
      <c r="I33" s="9">
        <v>1.1410857990605503</v>
      </c>
      <c r="J33" s="9">
        <v>0.6642763219880834</v>
      </c>
      <c r="K33" s="9">
        <v>1.0997850453556828</v>
      </c>
      <c r="L33" s="9">
        <v>0.71210835823623708</v>
      </c>
      <c r="M33" s="7">
        <f t="shared" si="0"/>
        <v>0.91210901054722371</v>
      </c>
      <c r="N33" s="7">
        <f t="shared" si="1"/>
        <v>0.65795557923253467</v>
      </c>
    </row>
    <row r="34" spans="1:14" x14ac:dyDescent="0.3">
      <c r="A34" s="7">
        <v>31</v>
      </c>
      <c r="B34" s="9" t="s">
        <v>47</v>
      </c>
      <c r="C34" s="9">
        <v>0.53944475295670757</v>
      </c>
      <c r="D34" s="9">
        <v>0.63780621786495351</v>
      </c>
      <c r="E34" s="9">
        <v>0.64306096458877293</v>
      </c>
      <c r="F34" s="9">
        <v>0.64442893640861965</v>
      </c>
      <c r="G34" s="9">
        <v>0.563862357804778</v>
      </c>
      <c r="H34" s="9">
        <v>0.99737231750814914</v>
      </c>
      <c r="I34" s="9">
        <v>0.83095710191049721</v>
      </c>
      <c r="J34" s="9">
        <v>0.70438314229824417</v>
      </c>
      <c r="K34" s="9">
        <v>0.58883793182883637</v>
      </c>
      <c r="L34" s="9">
        <v>0.92715494784543184</v>
      </c>
      <c r="M34" s="7">
        <f t="shared" si="0"/>
        <v>1.3368226652436177</v>
      </c>
      <c r="N34" s="7">
        <f t="shared" si="1"/>
        <v>2.9693669818653557E-2</v>
      </c>
    </row>
    <row r="35" spans="1:14" x14ac:dyDescent="0.3">
      <c r="A35" s="7">
        <v>32</v>
      </c>
      <c r="B35" s="9" t="s">
        <v>48</v>
      </c>
      <c r="C35" s="9">
        <v>0.37359220717554009</v>
      </c>
      <c r="D35" s="9">
        <v>1.0534532974317103</v>
      </c>
      <c r="E35" s="9">
        <v>0.33323667865259909</v>
      </c>
      <c r="F35" s="9">
        <v>0.32827976401312314</v>
      </c>
      <c r="G35" s="9">
        <v>0.45920650132159235</v>
      </c>
      <c r="H35" s="9">
        <v>1.0974891164831926</v>
      </c>
      <c r="I35" s="9">
        <v>0.86681670885474127</v>
      </c>
      <c r="J35" s="9">
        <v>0.76668478271537965</v>
      </c>
      <c r="K35" s="9">
        <v>0.61852604060040095</v>
      </c>
      <c r="L35" s="9">
        <v>0.43001397702514726</v>
      </c>
      <c r="M35" s="7">
        <f t="shared" si="0"/>
        <v>1.4834670818550169</v>
      </c>
      <c r="N35" s="7">
        <f t="shared" si="1"/>
        <v>0.20415605750600491</v>
      </c>
    </row>
    <row r="36" spans="1:14" x14ac:dyDescent="0.3">
      <c r="A36" s="7">
        <v>33</v>
      </c>
      <c r="B36" s="9" t="s">
        <v>49</v>
      </c>
      <c r="C36" s="9">
        <v>0.49309947786857977</v>
      </c>
      <c r="D36" s="9">
        <v>0.70185874929917214</v>
      </c>
      <c r="E36" s="9">
        <v>0.41773896852975045</v>
      </c>
      <c r="F36" s="9">
        <v>1.1863869284295312</v>
      </c>
      <c r="G36" s="9">
        <v>0.37197625254669808</v>
      </c>
      <c r="H36" s="9">
        <v>0.78698809587214402</v>
      </c>
      <c r="I36" s="9">
        <v>0.44906391748187774</v>
      </c>
      <c r="J36" s="9">
        <v>0.40929866767188894</v>
      </c>
      <c r="K36" s="9">
        <v>0.29277506157460959</v>
      </c>
      <c r="L36" s="9">
        <v>0.23887717819698084</v>
      </c>
      <c r="M36" s="7">
        <f t="shared" si="0"/>
        <v>0.68652206587156106</v>
      </c>
      <c r="N36" s="7">
        <f t="shared" si="1"/>
        <v>0.294587927078929</v>
      </c>
    </row>
    <row r="37" spans="1:14" x14ac:dyDescent="0.3">
      <c r="A37" s="7">
        <v>34</v>
      </c>
      <c r="B37" s="9" t="s">
        <v>50</v>
      </c>
      <c r="C37" s="9">
        <v>0.61097205933750687</v>
      </c>
      <c r="D37" s="9">
        <v>1.2091368401486957</v>
      </c>
      <c r="E37" s="9">
        <v>1.0013252862949347</v>
      </c>
      <c r="F37" s="9">
        <v>0.72952586243298445</v>
      </c>
      <c r="G37" s="9">
        <v>0.71822307443321687</v>
      </c>
      <c r="H37" s="9">
        <v>2.0134479627729545</v>
      </c>
      <c r="I37" s="9">
        <v>1.0655032001599067</v>
      </c>
      <c r="J37" s="9">
        <v>0.84344869910374864</v>
      </c>
      <c r="K37" s="9">
        <v>1.1851313051740167</v>
      </c>
      <c r="L37" s="9">
        <v>0.79713507791735838</v>
      </c>
      <c r="M37" s="7">
        <f t="shared" si="0"/>
        <v>1.3830904122628678</v>
      </c>
      <c r="N37" s="7">
        <f t="shared" si="1"/>
        <v>0.2199664404653916</v>
      </c>
    </row>
    <row r="38" spans="1:14" x14ac:dyDescent="0.3">
      <c r="A38" s="7">
        <v>35</v>
      </c>
      <c r="B38" s="9" t="s">
        <v>51</v>
      </c>
      <c r="C38" s="9">
        <v>1.0151334479656002</v>
      </c>
      <c r="D38" s="9">
        <v>1.9785244040483978</v>
      </c>
      <c r="E38" s="9">
        <v>2.2050198196936059</v>
      </c>
      <c r="F38" s="9">
        <v>2.0327944493924246</v>
      </c>
      <c r="G38" s="9">
        <v>1.8430330293278532</v>
      </c>
      <c r="H38" s="9">
        <v>3.1516018144404212</v>
      </c>
      <c r="I38" s="9">
        <v>1.9741928353219786</v>
      </c>
      <c r="J38" s="9">
        <v>2.0451578455021524</v>
      </c>
      <c r="K38" s="9">
        <v>2.2096257521825899</v>
      </c>
      <c r="L38" s="9">
        <v>2.1446066388420046</v>
      </c>
      <c r="M38" s="7">
        <f t="shared" si="0"/>
        <v>1.270062079996253</v>
      </c>
      <c r="N38" s="7">
        <f t="shared" si="1"/>
        <v>0.14050028295765848</v>
      </c>
    </row>
    <row r="39" spans="1:14" x14ac:dyDescent="0.3">
      <c r="A39" s="7">
        <v>36</v>
      </c>
      <c r="B39" s="9" t="s">
        <v>52</v>
      </c>
      <c r="C39" s="9">
        <v>1.2344911244505281</v>
      </c>
      <c r="D39" s="9">
        <v>1.9322442625482767</v>
      </c>
      <c r="E39" s="9">
        <v>2.3534243604462861</v>
      </c>
      <c r="F39" s="9">
        <v>1.9095683516764095</v>
      </c>
      <c r="G39" s="9">
        <v>1.756734134718277</v>
      </c>
      <c r="H39" s="9">
        <v>3.0899486051652101</v>
      </c>
      <c r="I39" s="9">
        <v>1.9274843899618501</v>
      </c>
      <c r="J39" s="9">
        <v>1.849231280747317</v>
      </c>
      <c r="K39" s="9">
        <v>2.3729846820915816</v>
      </c>
      <c r="L39" s="9">
        <v>2.0913754338741573</v>
      </c>
      <c r="M39" s="7">
        <f t="shared" si="0"/>
        <v>1.2334481004124209</v>
      </c>
      <c r="N39" s="7">
        <f t="shared" si="1"/>
        <v>0.17482500433651008</v>
      </c>
    </row>
    <row r="40" spans="1:14" x14ac:dyDescent="0.3">
      <c r="A40" s="7">
        <v>37</v>
      </c>
      <c r="B40" s="9" t="s">
        <v>53</v>
      </c>
      <c r="C40" s="9">
        <v>6.7344056922667123E-2</v>
      </c>
      <c r="D40" s="9">
        <v>0.33115312534334279</v>
      </c>
      <c r="E40" s="9">
        <v>0.14713381085815691</v>
      </c>
      <c r="F40" s="9">
        <v>0.10255346840062476</v>
      </c>
      <c r="G40" s="9">
        <v>9.5759855281980097E-2</v>
      </c>
      <c r="H40" s="9">
        <v>8.7484589621615982E-2</v>
      </c>
      <c r="I40" s="9">
        <v>0.37238460020249448</v>
      </c>
      <c r="J40" s="9">
        <v>0.31656430250778084</v>
      </c>
      <c r="K40" s="9">
        <v>9.9068573336321977E-2</v>
      </c>
      <c r="L40" s="9">
        <v>7.1367916525599526E-2</v>
      </c>
      <c r="M40" s="7">
        <f t="shared" si="0"/>
        <v>1.2727699651743534</v>
      </c>
      <c r="N40" s="7">
        <f t="shared" si="1"/>
        <v>0.62425049485860007</v>
      </c>
    </row>
    <row r="41" spans="1:14" x14ac:dyDescent="0.3">
      <c r="A41" s="7">
        <v>38</v>
      </c>
      <c r="B41" s="9" t="s">
        <v>54</v>
      </c>
      <c r="C41" s="9">
        <v>0.23675546991511232</v>
      </c>
      <c r="D41" s="9">
        <v>0.36167454905711877</v>
      </c>
      <c r="E41" s="9">
        <v>0.40483259933325527</v>
      </c>
      <c r="F41" s="9">
        <v>0.29819708945362239</v>
      </c>
      <c r="G41" s="9">
        <v>0.1260620770132079</v>
      </c>
      <c r="H41" s="9">
        <v>0.6406683858496961</v>
      </c>
      <c r="I41" s="9">
        <v>0.45327376930246188</v>
      </c>
      <c r="J41" s="9">
        <v>0.71906367304174668</v>
      </c>
      <c r="K41" s="9">
        <v>0.23703091188326883</v>
      </c>
      <c r="L41" s="9">
        <v>0.24113915337567299</v>
      </c>
      <c r="M41" s="7">
        <f t="shared" si="0"/>
        <v>1.6050024019901585</v>
      </c>
      <c r="N41" s="7">
        <f t="shared" si="1"/>
        <v>0.15752975662290655</v>
      </c>
    </row>
    <row r="42" spans="1:14" x14ac:dyDescent="0.3">
      <c r="A42" s="7">
        <v>39</v>
      </c>
      <c r="B42" s="9" t="s">
        <v>55</v>
      </c>
      <c r="C42" s="9">
        <v>8.7791405261416738E-2</v>
      </c>
      <c r="D42" s="9">
        <v>0.35686918996664435</v>
      </c>
      <c r="E42" s="9">
        <v>0.1253854221638365</v>
      </c>
      <c r="F42" s="9">
        <v>0.18443742439386154</v>
      </c>
      <c r="G42" s="9">
        <v>0.10686754322291808</v>
      </c>
      <c r="H42" s="9">
        <v>7.6990965460994557E-2</v>
      </c>
      <c r="I42" s="9">
        <v>0.21762989379812939</v>
      </c>
      <c r="J42" s="9">
        <v>0.18292126553901927</v>
      </c>
      <c r="K42" s="9">
        <v>0.16493271435931903</v>
      </c>
      <c r="L42" s="9">
        <v>6.7488489638737451E-2</v>
      </c>
      <c r="M42" s="7">
        <f t="shared" si="0"/>
        <v>0.82424393905934579</v>
      </c>
      <c r="N42" s="7">
        <f t="shared" si="1"/>
        <v>0.61121189938573073</v>
      </c>
    </row>
    <row r="43" spans="1:14" x14ac:dyDescent="0.3">
      <c r="A43" s="7">
        <v>40</v>
      </c>
      <c r="B43" s="9" t="s">
        <v>56</v>
      </c>
      <c r="C43" s="9">
        <v>1.4363652557221445</v>
      </c>
      <c r="D43" s="9">
        <v>1.1904276702256225</v>
      </c>
      <c r="E43" s="9">
        <v>1.0672850448391986</v>
      </c>
      <c r="F43" s="9">
        <v>1.0845784174536555</v>
      </c>
      <c r="G43" s="9">
        <v>0.71127863070131725</v>
      </c>
      <c r="H43" s="9">
        <v>0.27467632921171931</v>
      </c>
      <c r="I43" s="9">
        <v>0.17163378078195002</v>
      </c>
      <c r="J43" s="9">
        <v>0.68447737423913235</v>
      </c>
      <c r="K43" s="9">
        <v>0.82137526729935095</v>
      </c>
      <c r="L43" s="9">
        <v>0.28076700937651128</v>
      </c>
      <c r="M43" s="7">
        <f t="shared" si="0"/>
        <v>0.40673154658559341</v>
      </c>
      <c r="N43" s="7">
        <f t="shared" si="1"/>
        <v>5.6226230817034914E-3</v>
      </c>
    </row>
    <row r="44" spans="1:14" x14ac:dyDescent="0.3">
      <c r="A44" s="7">
        <v>41</v>
      </c>
      <c r="B44" s="9" t="s">
        <v>57</v>
      </c>
      <c r="C44" s="9">
        <v>3.5915359031585803</v>
      </c>
      <c r="D44" s="9">
        <v>3.0525348576032667</v>
      </c>
      <c r="E44" s="9">
        <v>3.5408450983638082</v>
      </c>
      <c r="F44" s="9">
        <v>1.0468861353619798</v>
      </c>
      <c r="G44" s="9">
        <v>1.9553563736262443</v>
      </c>
      <c r="H44" s="9">
        <v>4.4079438911456634</v>
      </c>
      <c r="I44" s="9">
        <v>4.3655351279972709</v>
      </c>
      <c r="J44" s="9">
        <v>4.0410340831009748</v>
      </c>
      <c r="K44" s="9">
        <v>3.4900545300469039</v>
      </c>
      <c r="L44" s="9">
        <v>4.3749512840398239</v>
      </c>
      <c r="M44" s="7">
        <f t="shared" si="0"/>
        <v>1.5681558027188816</v>
      </c>
      <c r="N44" s="7">
        <f t="shared" si="1"/>
        <v>2.1266280079097259E-2</v>
      </c>
    </row>
    <row r="45" spans="1:14" x14ac:dyDescent="0.3">
      <c r="A45" s="7">
        <v>42</v>
      </c>
      <c r="B45" s="9" t="s">
        <v>58</v>
      </c>
      <c r="C45" s="9">
        <v>0.60683238103498838</v>
      </c>
      <c r="D45" s="9">
        <v>0.80046447055884351</v>
      </c>
      <c r="E45" s="9">
        <v>0.32223855207152458</v>
      </c>
      <c r="F45" s="9">
        <v>0.45445253439261413</v>
      </c>
      <c r="G45" s="9">
        <v>0.35568846505889201</v>
      </c>
      <c r="H45" s="9">
        <v>0.81385126910403593</v>
      </c>
      <c r="I45" s="9">
        <v>0.90103773303813584</v>
      </c>
      <c r="J45" s="9">
        <v>0.5874682829138177</v>
      </c>
      <c r="K45" s="9">
        <v>0.31976029979097587</v>
      </c>
      <c r="L45" s="9">
        <v>0.53578191034568834</v>
      </c>
      <c r="M45" s="7">
        <f t="shared" si="0"/>
        <v>1.2434259306882818</v>
      </c>
      <c r="N45" s="7">
        <f t="shared" si="1"/>
        <v>0.38992418936759743</v>
      </c>
    </row>
    <row r="46" spans="1:14" x14ac:dyDescent="0.3">
      <c r="A46" s="7">
        <v>43</v>
      </c>
      <c r="B46" s="9" t="s">
        <v>59</v>
      </c>
      <c r="C46" s="9">
        <v>4.2048898749438157</v>
      </c>
      <c r="D46" s="9">
        <v>2.7398766098757914</v>
      </c>
      <c r="E46" s="9">
        <v>4.022212013561516</v>
      </c>
      <c r="F46" s="9">
        <v>0.93060877900617722</v>
      </c>
      <c r="G46" s="9">
        <v>2.0429674974068868</v>
      </c>
      <c r="H46" s="9">
        <v>4.498111693754999</v>
      </c>
      <c r="I46" s="9">
        <v>4.9240951197706755</v>
      </c>
      <c r="J46" s="9">
        <v>4.0189534845013437</v>
      </c>
      <c r="K46" s="9">
        <v>3.8062008017038322</v>
      </c>
      <c r="L46" s="9">
        <v>5.0780412217359796</v>
      </c>
      <c r="M46" s="7">
        <f t="shared" si="0"/>
        <v>1.6014715828837185</v>
      </c>
      <c r="N46" s="7">
        <f t="shared" si="1"/>
        <v>3.503300385651089E-2</v>
      </c>
    </row>
    <row r="47" spans="1:14" x14ac:dyDescent="0.3">
      <c r="A47" s="7">
        <v>44</v>
      </c>
      <c r="B47" s="9" t="s">
        <v>60</v>
      </c>
      <c r="C47" s="9">
        <v>0.92355501137242879</v>
      </c>
      <c r="D47" s="9">
        <v>1.1268788507109817</v>
      </c>
      <c r="E47" s="9">
        <v>1.0649122675061793</v>
      </c>
      <c r="F47" s="9">
        <v>0.81442904103352998</v>
      </c>
      <c r="G47" s="9">
        <v>1.1863486980662232</v>
      </c>
      <c r="H47" s="9">
        <v>1.5064671330844268</v>
      </c>
      <c r="I47" s="9">
        <v>1.3722877689693744</v>
      </c>
      <c r="J47" s="9">
        <v>1.0409370505503646</v>
      </c>
      <c r="K47" s="9">
        <v>0.98758871513622182</v>
      </c>
      <c r="L47" s="9">
        <v>0.46990814689848931</v>
      </c>
      <c r="M47" s="7">
        <f t="shared" si="0"/>
        <v>1.0510278782629268</v>
      </c>
      <c r="N47" s="7">
        <f t="shared" si="1"/>
        <v>0.7932092035631424</v>
      </c>
    </row>
    <row r="48" spans="1:14" x14ac:dyDescent="0.3">
      <c r="A48" s="7">
        <v>45</v>
      </c>
      <c r="B48" s="9" t="s">
        <v>61</v>
      </c>
      <c r="C48" s="9">
        <v>1.1240240057509481</v>
      </c>
      <c r="D48" s="9">
        <v>1.1688101132351978</v>
      </c>
      <c r="E48" s="9">
        <v>1.0627608924603329</v>
      </c>
      <c r="F48" s="9">
        <v>1.1464216130125036</v>
      </c>
      <c r="G48" s="9">
        <v>1.2044532067315288</v>
      </c>
      <c r="H48" s="9">
        <v>1.2843082089263598</v>
      </c>
      <c r="I48" s="9">
        <v>1.2008153853046051</v>
      </c>
      <c r="J48" s="9">
        <v>1.1061030625772172</v>
      </c>
      <c r="K48" s="9">
        <v>0.86156074840601748</v>
      </c>
      <c r="L48" s="9">
        <v>0.63513138107724409</v>
      </c>
      <c r="M48" s="7">
        <f t="shared" si="0"/>
        <v>0.89160530709928909</v>
      </c>
      <c r="N48" s="7">
        <f t="shared" si="1"/>
        <v>0.33773778838573137</v>
      </c>
    </row>
    <row r="49" spans="1:14" x14ac:dyDescent="0.3">
      <c r="A49" s="7">
        <v>46</v>
      </c>
      <c r="B49" s="9" t="s">
        <v>62</v>
      </c>
      <c r="C49" s="9">
        <v>1.1322649595974639</v>
      </c>
      <c r="D49" s="9">
        <v>1.1730732071877743</v>
      </c>
      <c r="E49" s="9">
        <v>1.076385983533191</v>
      </c>
      <c r="F49" s="9">
        <v>1.1537791651439755</v>
      </c>
      <c r="G49" s="9">
        <v>1.2135107741259998</v>
      </c>
      <c r="H49" s="9">
        <v>1.2783232595621195</v>
      </c>
      <c r="I49" s="9">
        <v>1.2029284610733018</v>
      </c>
      <c r="J49" s="9">
        <v>1.1156381996258398</v>
      </c>
      <c r="K49" s="9">
        <v>0.86283768002058348</v>
      </c>
      <c r="L49" s="9">
        <v>0.64326712525418972</v>
      </c>
      <c r="M49" s="7">
        <f t="shared" si="0"/>
        <v>0.88762953891131935</v>
      </c>
      <c r="N49" s="7">
        <f t="shared" si="1"/>
        <v>0.3116527844762495</v>
      </c>
    </row>
    <row r="50" spans="1:14" x14ac:dyDescent="0.3">
      <c r="A50" s="7">
        <v>47</v>
      </c>
      <c r="B50" s="9" t="s">
        <v>63</v>
      </c>
      <c r="C50" s="9">
        <v>1.1257489751048255</v>
      </c>
      <c r="D50" s="9">
        <v>1.177722798267977</v>
      </c>
      <c r="E50" s="9">
        <v>1.0749203994753267</v>
      </c>
      <c r="F50" s="9">
        <v>1.1444481940543576</v>
      </c>
      <c r="G50" s="9">
        <v>1.2126371393930873</v>
      </c>
      <c r="H50" s="9">
        <v>1.2720528180560799</v>
      </c>
      <c r="I50" s="9">
        <v>1.2041422797375749</v>
      </c>
      <c r="J50" s="9">
        <v>1.1060935839148323</v>
      </c>
      <c r="K50" s="9">
        <v>0.8876902409826315</v>
      </c>
      <c r="L50" s="9">
        <v>0.65239738588851404</v>
      </c>
      <c r="M50" s="7">
        <f t="shared" si="0"/>
        <v>0.89310372204529298</v>
      </c>
      <c r="N50" s="7">
        <f t="shared" si="1"/>
        <v>0.32065426397360514</v>
      </c>
    </row>
    <row r="51" spans="1:14" x14ac:dyDescent="0.3">
      <c r="A51" s="7">
        <v>48</v>
      </c>
      <c r="B51" s="9" t="s">
        <v>64</v>
      </c>
      <c r="C51" s="9">
        <v>0.57918623658130142</v>
      </c>
      <c r="D51" s="9">
        <v>0.72912424101706552</v>
      </c>
      <c r="E51" s="9">
        <v>0.7875561864611661</v>
      </c>
      <c r="F51" s="9">
        <v>0.82233761368693303</v>
      </c>
      <c r="G51" s="9">
        <v>0.65130584199179897</v>
      </c>
      <c r="H51" s="9">
        <v>0.76807437873120377</v>
      </c>
      <c r="I51" s="9">
        <v>0.73417173717089923</v>
      </c>
      <c r="J51" s="9">
        <v>0.81897115018225342</v>
      </c>
      <c r="K51" s="9">
        <v>0.47761056592806345</v>
      </c>
      <c r="L51" s="9">
        <v>0.61500061655481597</v>
      </c>
      <c r="M51" s="7">
        <f t="shared" si="0"/>
        <v>0.95638570393450939</v>
      </c>
      <c r="N51" s="7">
        <f t="shared" si="1"/>
        <v>0.69167270194001074</v>
      </c>
    </row>
    <row r="52" spans="1:14" x14ac:dyDescent="0.3">
      <c r="A52" s="7">
        <v>49</v>
      </c>
      <c r="B52" s="9" t="s">
        <v>65</v>
      </c>
      <c r="C52" s="9">
        <v>0.54315346965977251</v>
      </c>
      <c r="D52" s="9">
        <v>0.9205803896657212</v>
      </c>
      <c r="E52" s="9">
        <v>0.87726162062392021</v>
      </c>
      <c r="F52" s="9">
        <v>0.85605977316772786</v>
      </c>
      <c r="G52" s="9">
        <v>0.57576253868928562</v>
      </c>
      <c r="H52" s="9">
        <v>0.68661281530597784</v>
      </c>
      <c r="I52" s="9">
        <v>0.75287659885178582</v>
      </c>
      <c r="J52" s="9">
        <v>0.45930003413479215</v>
      </c>
      <c r="K52" s="9">
        <v>0.5374131499213437</v>
      </c>
      <c r="L52" s="9">
        <v>0.60075505252581141</v>
      </c>
      <c r="M52" s="7">
        <f t="shared" si="0"/>
        <v>0.80495741335168314</v>
      </c>
      <c r="N52" s="7">
        <f t="shared" si="1"/>
        <v>0.16337794090957311</v>
      </c>
    </row>
    <row r="53" spans="1:14" x14ac:dyDescent="0.3">
      <c r="A53" s="7">
        <v>50</v>
      </c>
      <c r="B53" s="9" t="s">
        <v>66</v>
      </c>
      <c r="C53" s="9">
        <v>1.1047032800443002</v>
      </c>
      <c r="D53" s="9">
        <v>1.1659810309669967</v>
      </c>
      <c r="E53" s="9">
        <v>1.0345963208317452</v>
      </c>
      <c r="F53" s="9">
        <v>1.1347061147886888</v>
      </c>
      <c r="G53" s="9">
        <v>1.1788152740361593</v>
      </c>
      <c r="H53" s="9">
        <v>1.2490038452272114</v>
      </c>
      <c r="I53" s="9">
        <v>1.181445763469221</v>
      </c>
      <c r="J53" s="9">
        <v>1.0768240999988246</v>
      </c>
      <c r="K53" s="9">
        <v>0.86211288176401235</v>
      </c>
      <c r="L53" s="9">
        <v>0.6494033475723977</v>
      </c>
      <c r="M53" s="7">
        <f t="shared" si="0"/>
        <v>0.89321352124008424</v>
      </c>
      <c r="N53" s="7">
        <f t="shared" si="1"/>
        <v>0.31974617505274833</v>
      </c>
    </row>
    <row r="54" spans="1:14" x14ac:dyDescent="0.3">
      <c r="A54" s="7">
        <v>51</v>
      </c>
      <c r="B54" s="9" t="s">
        <v>67</v>
      </c>
      <c r="C54" s="9">
        <v>1.8599026976305995</v>
      </c>
      <c r="D54" s="9">
        <v>2.0639553679958849</v>
      </c>
      <c r="E54" s="9">
        <v>2.5613833023050629</v>
      </c>
      <c r="F54" s="9">
        <v>6.6916605563444449</v>
      </c>
      <c r="G54" s="9">
        <v>6.5303508275260089</v>
      </c>
      <c r="H54" s="9">
        <v>4.2758907176870613</v>
      </c>
      <c r="I54" s="9">
        <v>0.10719312328887688</v>
      </c>
      <c r="J54" s="9">
        <v>3.0156295813879304</v>
      </c>
      <c r="K54" s="9">
        <v>0.99729955796914438</v>
      </c>
      <c r="L54" s="9">
        <v>2.4336248863643326</v>
      </c>
      <c r="M54" s="7">
        <f t="shared" si="0"/>
        <v>0.54952549719072841</v>
      </c>
      <c r="N54" s="7">
        <f t="shared" si="1"/>
        <v>0.21565802943225482</v>
      </c>
    </row>
    <row r="55" spans="1:14" x14ac:dyDescent="0.3">
      <c r="A55" s="7">
        <v>52</v>
      </c>
      <c r="B55" s="9" t="s">
        <v>68</v>
      </c>
      <c r="C55" s="9">
        <v>2.0719747535349877</v>
      </c>
      <c r="D55" s="9">
        <v>2.2620262535904043</v>
      </c>
      <c r="E55" s="9">
        <v>2.4972217609946501</v>
      </c>
      <c r="F55" s="9">
        <v>3.0907523685794018</v>
      </c>
      <c r="G55" s="9">
        <v>2.447260755255618</v>
      </c>
      <c r="H55" s="9">
        <v>4.1598643833576334</v>
      </c>
      <c r="I55" s="9">
        <v>0.23872853735587937</v>
      </c>
      <c r="J55" s="9">
        <v>2.064997309592437</v>
      </c>
      <c r="K55" s="9">
        <v>0.42149559551905535</v>
      </c>
      <c r="L55" s="9">
        <v>2.8586938258233183</v>
      </c>
      <c r="M55" s="7">
        <f t="shared" si="0"/>
        <v>0.78774305355318408</v>
      </c>
      <c r="N55" s="7">
        <f t="shared" si="1"/>
        <v>0.5095861491036815</v>
      </c>
    </row>
    <row r="56" spans="1:14" x14ac:dyDescent="0.3">
      <c r="A56" s="7">
        <v>53</v>
      </c>
      <c r="B56" s="9" t="s">
        <v>69</v>
      </c>
      <c r="C56" s="9">
        <v>0.49660611594172416</v>
      </c>
      <c r="D56" s="9">
        <v>1.3930830098928904</v>
      </c>
      <c r="E56" s="9">
        <v>1.5591037589592347</v>
      </c>
      <c r="F56" s="9">
        <v>7.8296368357303622E-2</v>
      </c>
      <c r="G56" s="9">
        <v>2.3876233335301618</v>
      </c>
      <c r="H56" s="9">
        <v>1.1516673216438797</v>
      </c>
      <c r="I56" s="9">
        <v>0.43260093680021683</v>
      </c>
      <c r="J56" s="9">
        <v>1.1913537854316534</v>
      </c>
      <c r="K56" s="9">
        <v>1.3589046505927822</v>
      </c>
      <c r="L56" s="9">
        <v>2.456322904626719</v>
      </c>
      <c r="M56" s="7">
        <f t="shared" si="0"/>
        <v>1.1143144324436751</v>
      </c>
      <c r="N56" s="7">
        <f t="shared" si="1"/>
        <v>0.80219707698676102</v>
      </c>
    </row>
    <row r="57" spans="1:14" x14ac:dyDescent="0.3">
      <c r="A57" s="7">
        <v>54</v>
      </c>
      <c r="B57" s="9" t="s">
        <v>70</v>
      </c>
      <c r="C57" s="9">
        <v>2.4828595161891745E-2</v>
      </c>
      <c r="D57" s="9">
        <v>5.1336194012916433E-2</v>
      </c>
      <c r="E57" s="9">
        <v>7.2223175828763406E-2</v>
      </c>
      <c r="F57" s="9">
        <v>6.1262324437697323E-2</v>
      </c>
      <c r="G57" s="9">
        <v>7.5062673343784858E-2</v>
      </c>
      <c r="H57" s="9">
        <v>0.1235994513251277</v>
      </c>
      <c r="I57" s="9">
        <v>0.141017396265119</v>
      </c>
      <c r="J57" s="9">
        <v>8.9246143805556052E-2</v>
      </c>
      <c r="K57" s="9">
        <v>4.4178022475875586E-2</v>
      </c>
      <c r="L57" s="9">
        <v>4.0293935123442107E-2</v>
      </c>
      <c r="M57" s="7">
        <f t="shared" si="0"/>
        <v>1.5395679378534122</v>
      </c>
      <c r="N57" s="7">
        <f t="shared" si="1"/>
        <v>0.20502293972891786</v>
      </c>
    </row>
    <row r="58" spans="1:14" s="13" customFormat="1" x14ac:dyDescent="0.3">
      <c r="A58" s="13">
        <v>55</v>
      </c>
      <c r="B58" s="14" t="s">
        <v>71</v>
      </c>
      <c r="C58" s="14">
        <v>0.45029361010031105</v>
      </c>
      <c r="D58" s="14">
        <v>0.38831831885452506</v>
      </c>
      <c r="E58" s="14">
        <v>0.46715995696638157</v>
      </c>
      <c r="F58" s="14">
        <v>1.1278920808071269</v>
      </c>
      <c r="G58" s="14">
        <v>0.47930875245344051</v>
      </c>
      <c r="H58" s="14">
        <v>0.77890889491264559</v>
      </c>
      <c r="I58" s="14">
        <v>0.44593902558765269</v>
      </c>
      <c r="J58" s="14">
        <v>0.28522700193442768</v>
      </c>
      <c r="K58" s="14">
        <v>0.39505178464692264</v>
      </c>
      <c r="L58" s="14">
        <v>0.24980949314140982</v>
      </c>
      <c r="M58" s="13">
        <f t="shared" si="0"/>
        <v>0.73977218737165207</v>
      </c>
      <c r="N58" s="13">
        <f t="shared" si="1"/>
        <v>0.3886434959074847</v>
      </c>
    </row>
    <row r="59" spans="1:14" s="13" customFormat="1" x14ac:dyDescent="0.3">
      <c r="A59" s="13">
        <v>56</v>
      </c>
      <c r="B59" s="14" t="s">
        <v>72</v>
      </c>
      <c r="C59" s="14">
        <v>0.46646366891834745</v>
      </c>
      <c r="D59" s="14">
        <v>0.48910139810220665</v>
      </c>
      <c r="E59" s="14">
        <v>0.47908837992897479</v>
      </c>
      <c r="F59" s="14">
        <v>1.0775159036916939</v>
      </c>
      <c r="G59" s="14">
        <v>0.50772558249112076</v>
      </c>
      <c r="H59" s="14">
        <v>0.72657708089369288</v>
      </c>
      <c r="I59" s="14">
        <v>0.45187866825265216</v>
      </c>
      <c r="J59" s="14">
        <v>0.31761848031935186</v>
      </c>
      <c r="K59" s="14">
        <v>0.45555183928180926</v>
      </c>
      <c r="L59" s="14">
        <v>0.22831038020806274</v>
      </c>
      <c r="M59" s="13">
        <f t="shared" si="0"/>
        <v>0.72185837495162797</v>
      </c>
      <c r="N59" s="13">
        <f t="shared" si="1"/>
        <v>0.28159351216513401</v>
      </c>
    </row>
    <row r="60" spans="1:14" x14ac:dyDescent="0.3">
      <c r="A60" s="7">
        <v>57</v>
      </c>
      <c r="B60" s="9" t="s">
        <v>73</v>
      </c>
      <c r="C60" s="9">
        <v>0.38172240550111225</v>
      </c>
      <c r="D60" s="9">
        <v>0.25930891737979334</v>
      </c>
      <c r="E60" s="9">
        <v>0.2500042060941618</v>
      </c>
      <c r="F60" s="9">
        <v>0.62992265804619418</v>
      </c>
      <c r="G60" s="9">
        <v>0.29822980621588396</v>
      </c>
      <c r="H60" s="9">
        <v>0.51504385549834131</v>
      </c>
      <c r="I60" s="9">
        <v>0.43034584812089094</v>
      </c>
      <c r="J60" s="9">
        <v>0.17624746004172392</v>
      </c>
      <c r="K60" s="9">
        <v>0.29947985882550854</v>
      </c>
      <c r="L60" s="9">
        <v>0.16125161965904106</v>
      </c>
      <c r="M60" s="7">
        <f t="shared" si="0"/>
        <v>0.86982139725414942</v>
      </c>
      <c r="N60" s="7">
        <f t="shared" si="1"/>
        <v>0.64492819293390435</v>
      </c>
    </row>
    <row r="61" spans="1:14" x14ac:dyDescent="0.3">
      <c r="A61" s="7">
        <v>58</v>
      </c>
      <c r="B61" s="9" t="s">
        <v>74</v>
      </c>
      <c r="C61" s="9">
        <v>0.46345790737966869</v>
      </c>
      <c r="D61" s="9">
        <v>0.47978687831470396</v>
      </c>
      <c r="E61" s="9">
        <v>0.46675755896717497</v>
      </c>
      <c r="F61" s="9">
        <v>1.0980076996528465</v>
      </c>
      <c r="G61" s="9">
        <v>0.49383147705774733</v>
      </c>
      <c r="H61" s="9">
        <v>0.72110004665428573</v>
      </c>
      <c r="I61" s="9">
        <v>0.42297796894776035</v>
      </c>
      <c r="J61" s="9">
        <v>0.28849403747936031</v>
      </c>
      <c r="K61" s="9">
        <v>0.44591697124647917</v>
      </c>
      <c r="L61" s="9">
        <v>0.21517568792022876</v>
      </c>
      <c r="M61" s="7">
        <f t="shared" si="0"/>
        <v>0.69746010818422555</v>
      </c>
      <c r="N61" s="7">
        <f t="shared" si="1"/>
        <v>0.26566556513342354</v>
      </c>
    </row>
    <row r="62" spans="1:14" x14ac:dyDescent="0.3">
      <c r="A62" s="7">
        <v>59</v>
      </c>
      <c r="B62" s="9" t="s">
        <v>75</v>
      </c>
      <c r="C62" s="9">
        <v>0.4609704858553007</v>
      </c>
      <c r="D62" s="9">
        <v>0.46745984958952846</v>
      </c>
      <c r="E62" s="9">
        <v>0.46125866881898014</v>
      </c>
      <c r="F62" s="9">
        <v>1.0811541871741692</v>
      </c>
      <c r="G62" s="9">
        <v>0.4874448393771415</v>
      </c>
      <c r="H62" s="9">
        <v>0.71975409493625231</v>
      </c>
      <c r="I62" s="9">
        <v>0.41458055058486393</v>
      </c>
      <c r="J62" s="9">
        <v>0.28080742459995867</v>
      </c>
      <c r="K62" s="9">
        <v>0.4382137824626926</v>
      </c>
      <c r="L62" s="9">
        <v>0.21127461553749086</v>
      </c>
      <c r="M62" s="7">
        <f t="shared" si="0"/>
        <v>0.69791394435394938</v>
      </c>
      <c r="N62" s="7">
        <f t="shared" si="1"/>
        <v>0.26899751102726438</v>
      </c>
    </row>
    <row r="63" spans="1:14" x14ac:dyDescent="0.3">
      <c r="A63" s="7">
        <v>60</v>
      </c>
      <c r="B63" s="9" t="s">
        <v>76</v>
      </c>
      <c r="C63" s="9">
        <v>0.53650432295865058</v>
      </c>
      <c r="D63" s="9">
        <v>0.31515112567518438</v>
      </c>
      <c r="E63" s="9">
        <v>0.46639810162161688</v>
      </c>
      <c r="F63" s="9">
        <v>0.23361670253161845</v>
      </c>
      <c r="G63" s="9">
        <v>0.43043215828674458</v>
      </c>
      <c r="H63" s="9">
        <v>0.60877722575141213</v>
      </c>
      <c r="I63" s="9">
        <v>0.48878339651283392</v>
      </c>
      <c r="J63" s="9">
        <v>0.5940317314979906</v>
      </c>
      <c r="K63" s="9">
        <v>0.68515447484574121</v>
      </c>
      <c r="L63" s="9">
        <v>0.5914826186420894</v>
      </c>
      <c r="M63" s="7">
        <f t="shared" si="0"/>
        <v>1.4975156836835755</v>
      </c>
      <c r="N63" s="7">
        <f t="shared" si="1"/>
        <v>1.3593254147004264E-2</v>
      </c>
    </row>
    <row r="64" spans="1:14" x14ac:dyDescent="0.3">
      <c r="A64" s="7">
        <v>61</v>
      </c>
      <c r="B64" s="9" t="s">
        <v>77</v>
      </c>
      <c r="C64" s="9">
        <v>0.69892989785833259</v>
      </c>
      <c r="D64" s="9">
        <v>0.53431484347013503</v>
      </c>
      <c r="E64" s="9">
        <v>0.4927461660678828</v>
      </c>
      <c r="F64" s="9">
        <v>0.32289525508992667</v>
      </c>
      <c r="G64" s="9">
        <v>1.1650985931310402</v>
      </c>
      <c r="H64" s="9">
        <v>2.0199246539448974</v>
      </c>
      <c r="I64" s="9">
        <v>0.79379938442122389</v>
      </c>
      <c r="J64" s="9">
        <v>2.1732302846911424</v>
      </c>
      <c r="K64" s="9">
        <v>0.89011484008041331</v>
      </c>
      <c r="L64" s="9">
        <v>1.6276852980230738</v>
      </c>
      <c r="M64" s="7">
        <f t="shared" si="0"/>
        <v>2.3350311316953634</v>
      </c>
      <c r="N64" s="7">
        <f t="shared" si="1"/>
        <v>2.7150557685323012E-2</v>
      </c>
    </row>
    <row r="65" spans="1:14" x14ac:dyDescent="0.3">
      <c r="A65" s="7">
        <v>62</v>
      </c>
      <c r="B65" s="9" t="s">
        <v>78</v>
      </c>
      <c r="C65" s="9">
        <v>0.20468618412888867</v>
      </c>
      <c r="D65" s="9">
        <v>0.24813983017457134</v>
      </c>
      <c r="E65" s="9">
        <v>0.12114007054876673</v>
      </c>
      <c r="F65" s="9">
        <v>0.11027194115221661</v>
      </c>
      <c r="G65" s="9">
        <v>0.28397303098539278</v>
      </c>
      <c r="H65" s="9">
        <v>0.2686467376189326</v>
      </c>
      <c r="I65" s="9">
        <v>1.0581290834307331</v>
      </c>
      <c r="J65" s="9">
        <v>1.011791004744403</v>
      </c>
      <c r="K65" s="9">
        <v>0.1632600911352034</v>
      </c>
      <c r="L65" s="9">
        <v>0.51267044268258233</v>
      </c>
      <c r="M65" s="7">
        <f t="shared" si="0"/>
        <v>3.1134713220317001</v>
      </c>
      <c r="N65" s="7">
        <f t="shared" si="1"/>
        <v>6.1767286259871095E-2</v>
      </c>
    </row>
    <row r="66" spans="1:14" x14ac:dyDescent="0.3">
      <c r="A66" s="7">
        <v>63</v>
      </c>
      <c r="B66" s="9" t="s">
        <v>79</v>
      </c>
      <c r="C66" s="9">
        <v>6.852809671034768E-2</v>
      </c>
      <c r="D66" s="9">
        <v>0.28306634027676886</v>
      </c>
      <c r="E66" s="9">
        <v>5.5974182687643079E-2</v>
      </c>
      <c r="F66" s="9">
        <v>6.3410408441184604E-2</v>
      </c>
      <c r="G66" s="9">
        <v>0.49396395907889934</v>
      </c>
      <c r="H66" s="9">
        <v>0.39729538141493148</v>
      </c>
      <c r="I66" s="9">
        <v>1.468536408003924</v>
      </c>
      <c r="J66" s="9">
        <v>1.2914751128201012</v>
      </c>
      <c r="K66" s="9">
        <v>0.24843813678192198</v>
      </c>
      <c r="L66" s="9">
        <v>0.42621302976929937</v>
      </c>
      <c r="M66" s="7">
        <f t="shared" si="0"/>
        <v>3.9711756234738242</v>
      </c>
      <c r="N66" s="7">
        <f t="shared" si="1"/>
        <v>6.4987617673801165E-2</v>
      </c>
    </row>
    <row r="67" spans="1:14" x14ac:dyDescent="0.3">
      <c r="A67" s="7">
        <v>64</v>
      </c>
      <c r="B67" s="9" t="s">
        <v>80</v>
      </c>
      <c r="C67" s="9">
        <v>0.10097394145176275</v>
      </c>
      <c r="D67" s="9">
        <v>0.29171394340653017</v>
      </c>
      <c r="E67" s="9">
        <v>6.9625829888592991E-2</v>
      </c>
      <c r="F67" s="9">
        <v>4.4027827960523597E-2</v>
      </c>
      <c r="G67" s="9">
        <v>0.51102080569508013</v>
      </c>
      <c r="H67" s="9">
        <v>0.40480019044702942</v>
      </c>
      <c r="I67" s="9">
        <v>1.5226844996921942</v>
      </c>
      <c r="J67" s="9">
        <v>1.4232919830460211</v>
      </c>
      <c r="K67" s="9">
        <v>0.27449184000687854</v>
      </c>
      <c r="L67" s="9">
        <v>0.4283827965465179</v>
      </c>
      <c r="M67" s="7">
        <f t="shared" si="0"/>
        <v>3.9844715268889948</v>
      </c>
      <c r="N67" s="7">
        <f t="shared" si="1"/>
        <v>6.6547260927978816E-2</v>
      </c>
    </row>
    <row r="68" spans="1:14" x14ac:dyDescent="0.3">
      <c r="A68" s="7">
        <v>65</v>
      </c>
      <c r="B68" s="9" t="s">
        <v>81</v>
      </c>
      <c r="C68" s="9">
        <v>7.7765878465754404E-2</v>
      </c>
      <c r="D68" s="9">
        <v>0.18892223182148624</v>
      </c>
      <c r="E68" s="9">
        <v>6.5174692508946058E-2</v>
      </c>
      <c r="F68" s="9">
        <v>5.8169340311657082E-2</v>
      </c>
      <c r="G68" s="9">
        <v>0.33780992786376346</v>
      </c>
      <c r="H68" s="9">
        <v>0.25170557906185825</v>
      </c>
      <c r="I68" s="9">
        <v>1.3932470159118517</v>
      </c>
      <c r="J68" s="9">
        <v>1.221076202596943</v>
      </c>
      <c r="K68" s="9">
        <v>0.18669475870120564</v>
      </c>
      <c r="L68" s="9">
        <v>0.28170668191807008</v>
      </c>
      <c r="M68" s="7">
        <f t="shared" si="0"/>
        <v>4.5812551529739789</v>
      </c>
      <c r="N68" s="7">
        <f t="shared" si="1"/>
        <v>8.8288622424889857E-2</v>
      </c>
    </row>
    <row r="69" spans="1:14" x14ac:dyDescent="0.3">
      <c r="A69" s="7">
        <v>66</v>
      </c>
      <c r="B69" s="9" t="s">
        <v>82</v>
      </c>
      <c r="C69" s="9">
        <v>0.12850597055032992</v>
      </c>
      <c r="D69" s="9">
        <v>0.27721732147803707</v>
      </c>
      <c r="E69" s="9">
        <v>0.11757893820646577</v>
      </c>
      <c r="F69" s="9">
        <v>0.11169435855320133</v>
      </c>
      <c r="G69" s="9">
        <v>0.46310820787346074</v>
      </c>
      <c r="H69" s="9">
        <v>0.38366626036856794</v>
      </c>
      <c r="I69" s="9">
        <v>1.5020177786492663</v>
      </c>
      <c r="J69" s="9">
        <v>1.2256246517019445</v>
      </c>
      <c r="K69" s="9">
        <v>0.26863125841759239</v>
      </c>
      <c r="L69" s="9">
        <v>0.89992342097436584</v>
      </c>
      <c r="M69" s="7">
        <f t="shared" ref="M69:M112" si="2">AVERAGE(H69:L69)/AVERAGE(C69:G69)</f>
        <v>3.8974999318130297</v>
      </c>
      <c r="N69" s="7">
        <f t="shared" ref="N69:N112" si="3">_xlfn.T.TEST(C69:G69,H69:L69,2,2)</f>
        <v>3.262995857229916E-2</v>
      </c>
    </row>
    <row r="70" spans="1:14" x14ac:dyDescent="0.3">
      <c r="A70" s="7">
        <v>67</v>
      </c>
      <c r="B70" s="9" t="s">
        <v>83</v>
      </c>
      <c r="C70" s="9">
        <v>0.13180143578677259</v>
      </c>
      <c r="D70" s="9">
        <v>0.23341366608949993</v>
      </c>
      <c r="E70" s="9">
        <v>9.5258762403659852E-2</v>
      </c>
      <c r="F70" s="9">
        <v>9.4816291414285339E-2</v>
      </c>
      <c r="G70" s="9">
        <v>0.46720678850024</v>
      </c>
      <c r="H70" s="9">
        <v>0.2991624064760976</v>
      </c>
      <c r="I70" s="9">
        <v>1.3658974975566822</v>
      </c>
      <c r="J70" s="9">
        <v>0.90696602289119022</v>
      </c>
      <c r="K70" s="9">
        <v>0.24083005205334046</v>
      </c>
      <c r="L70" s="9">
        <v>0.32684005937275717</v>
      </c>
      <c r="M70" s="7">
        <f t="shared" si="2"/>
        <v>3.0706165492001345</v>
      </c>
      <c r="N70" s="7">
        <f t="shared" si="3"/>
        <v>0.10454665464890053</v>
      </c>
    </row>
    <row r="71" spans="1:14" x14ac:dyDescent="0.3">
      <c r="A71" s="7">
        <v>68</v>
      </c>
      <c r="B71" s="9" t="s">
        <v>84</v>
      </c>
      <c r="C71" s="9">
        <v>0.79272661583829207</v>
      </c>
      <c r="D71" s="9">
        <v>0.61391063147096536</v>
      </c>
      <c r="E71" s="9">
        <v>0.66009230338383307</v>
      </c>
      <c r="F71" s="9">
        <v>0.4432791610897972</v>
      </c>
      <c r="G71" s="9">
        <v>0.91913447656276437</v>
      </c>
      <c r="H71" s="9">
        <v>0.78052729084839401</v>
      </c>
      <c r="I71" s="9">
        <v>1.6422994022641941</v>
      </c>
      <c r="J71" s="9">
        <v>1.315530978721331</v>
      </c>
      <c r="K71" s="9">
        <v>0.5551145910205767</v>
      </c>
      <c r="L71" s="9">
        <v>0.9617459531295971</v>
      </c>
      <c r="M71" s="7">
        <f t="shared" si="2"/>
        <v>1.532516412217656</v>
      </c>
      <c r="N71" s="7">
        <f t="shared" si="3"/>
        <v>0.11933275788168578</v>
      </c>
    </row>
    <row r="72" spans="1:14" x14ac:dyDescent="0.3">
      <c r="A72" s="7">
        <v>69</v>
      </c>
      <c r="B72" s="9" t="s">
        <v>85</v>
      </c>
      <c r="C72" s="9">
        <v>0.12164635011820749</v>
      </c>
      <c r="D72" s="9">
        <v>0.23858510041285155</v>
      </c>
      <c r="E72" s="9">
        <v>0.13306703581540505</v>
      </c>
      <c r="F72" s="9">
        <v>6.810348735896915E-2</v>
      </c>
      <c r="G72" s="9">
        <v>0.49106341546550147</v>
      </c>
      <c r="H72" s="9">
        <v>0.33139573290670676</v>
      </c>
      <c r="I72" s="9">
        <v>1.4148426131889642</v>
      </c>
      <c r="J72" s="9">
        <v>0.83986418984943589</v>
      </c>
      <c r="K72" s="9">
        <v>0.13602101820364049</v>
      </c>
      <c r="L72" s="9">
        <v>0.32806774055751814</v>
      </c>
      <c r="M72" s="7">
        <f t="shared" si="2"/>
        <v>2.8981392890354445</v>
      </c>
      <c r="N72" s="7">
        <f t="shared" si="3"/>
        <v>0.14093561962052623</v>
      </c>
    </row>
    <row r="73" spans="1:14" x14ac:dyDescent="0.3">
      <c r="A73" s="7">
        <v>70</v>
      </c>
      <c r="B73" s="9" t="s">
        <v>86</v>
      </c>
      <c r="C73" s="9">
        <v>0.13187413034439999</v>
      </c>
      <c r="D73" s="9">
        <v>0.24381124469720339</v>
      </c>
      <c r="E73" s="9">
        <v>0.10350079752707736</v>
      </c>
      <c r="F73" s="9">
        <v>8.9149844397912681E-2</v>
      </c>
      <c r="G73" s="9">
        <v>0.46232471664488933</v>
      </c>
      <c r="H73" s="9">
        <v>0.31343698710506346</v>
      </c>
      <c r="I73" s="9">
        <v>1.3337369592422803</v>
      </c>
      <c r="J73" s="9">
        <v>0.87146153478926269</v>
      </c>
      <c r="K73" s="9">
        <v>0.24743869868318244</v>
      </c>
      <c r="L73" s="9">
        <v>0.3303437204182651</v>
      </c>
      <c r="M73" s="7">
        <f t="shared" si="2"/>
        <v>3.0043037434714939</v>
      </c>
      <c r="N73" s="7">
        <f t="shared" si="3"/>
        <v>9.9834530399010663E-2</v>
      </c>
    </row>
    <row r="74" spans="1:14" x14ac:dyDescent="0.3">
      <c r="A74" s="7">
        <v>71</v>
      </c>
      <c r="B74" s="9" t="s">
        <v>87</v>
      </c>
      <c r="C74" s="9">
        <v>0.14121590182610175</v>
      </c>
      <c r="D74" s="9">
        <v>0.19764598308849116</v>
      </c>
      <c r="E74" s="9">
        <v>9.0196093928195414E-2</v>
      </c>
      <c r="F74" s="9">
        <v>8.1560088415382453E-2</v>
      </c>
      <c r="G74" s="9">
        <v>0.4651305836999225</v>
      </c>
      <c r="H74" s="9">
        <v>0.30570731091751435</v>
      </c>
      <c r="I74" s="9">
        <v>1.3383164547520638</v>
      </c>
      <c r="J74" s="9">
        <v>0.76896882560008162</v>
      </c>
      <c r="K74" s="9">
        <v>0.21269778300203529</v>
      </c>
      <c r="L74" s="9">
        <v>0.33908776579799565</v>
      </c>
      <c r="M74" s="7">
        <f t="shared" si="2"/>
        <v>3.038465015717478</v>
      </c>
      <c r="N74" s="7">
        <f t="shared" si="3"/>
        <v>0.10970318550002658</v>
      </c>
    </row>
    <row r="75" spans="1:14" x14ac:dyDescent="0.3">
      <c r="A75" s="7">
        <v>72</v>
      </c>
      <c r="B75" s="9" t="s">
        <v>88</v>
      </c>
      <c r="C75" s="9">
        <v>9.8292480232855667E-2</v>
      </c>
      <c r="D75" s="9">
        <v>0.18069820874690851</v>
      </c>
      <c r="E75" s="9">
        <v>8.1344279208961118E-2</v>
      </c>
      <c r="F75" s="9">
        <v>6.9886057173657021E-2</v>
      </c>
      <c r="G75" s="9">
        <v>0.47167091333939482</v>
      </c>
      <c r="H75" s="9">
        <v>0.22005814707229726</v>
      </c>
      <c r="I75" s="9">
        <v>1.3550670125919477</v>
      </c>
      <c r="J75" s="9">
        <v>0.96064097613615862</v>
      </c>
      <c r="K75" s="9">
        <v>0.18616084199422789</v>
      </c>
      <c r="L75" s="9">
        <v>0.20726182344943322</v>
      </c>
      <c r="M75" s="7">
        <f t="shared" si="2"/>
        <v>3.2478267911568959</v>
      </c>
      <c r="N75" s="7">
        <f t="shared" si="3"/>
        <v>0.14803113084841327</v>
      </c>
    </row>
    <row r="76" spans="1:14" x14ac:dyDescent="0.3">
      <c r="A76" s="7">
        <v>73</v>
      </c>
      <c r="B76" s="9" t="s">
        <v>89</v>
      </c>
      <c r="C76" s="9">
        <v>8.0383130697154637E-2</v>
      </c>
      <c r="D76" s="9">
        <v>0.16865949006599182</v>
      </c>
      <c r="E76" s="9">
        <v>8.2774397534484248E-2</v>
      </c>
      <c r="F76" s="9">
        <v>4.7091778186397024E-2</v>
      </c>
      <c r="G76" s="9">
        <v>0.43280136655078111</v>
      </c>
      <c r="H76" s="9">
        <v>0.2182422148118702</v>
      </c>
      <c r="I76" s="9">
        <v>1.3125317467378115</v>
      </c>
      <c r="J76" s="9">
        <v>0.85147706658420075</v>
      </c>
      <c r="K76" s="9">
        <v>0.14959192110870603</v>
      </c>
      <c r="L76" s="9">
        <v>0.33000104585801104</v>
      </c>
      <c r="M76" s="7">
        <f t="shared" si="2"/>
        <v>3.5256968871755694</v>
      </c>
      <c r="N76" s="7">
        <f t="shared" si="3"/>
        <v>0.11682787396531416</v>
      </c>
    </row>
    <row r="77" spans="1:14" x14ac:dyDescent="0.3">
      <c r="A77" s="7">
        <v>74</v>
      </c>
      <c r="B77" s="9" t="s">
        <v>90</v>
      </c>
      <c r="C77" s="9">
        <v>3.7572576175164558</v>
      </c>
      <c r="D77" s="9">
        <v>1.8855902732007832</v>
      </c>
      <c r="E77" s="9">
        <v>2.3480491827043064</v>
      </c>
      <c r="F77" s="9">
        <v>2.5544704170626442</v>
      </c>
      <c r="G77" s="9">
        <v>2.1610359530976235</v>
      </c>
      <c r="H77" s="9">
        <v>5.1993684044338311</v>
      </c>
      <c r="I77" s="9">
        <v>2.474695489493592</v>
      </c>
      <c r="J77" s="9">
        <v>1.5374504840609142</v>
      </c>
      <c r="K77" s="9">
        <v>2.3666408014136056</v>
      </c>
      <c r="L77" s="9">
        <v>1.7492484731303894</v>
      </c>
      <c r="M77" s="7">
        <f t="shared" si="2"/>
        <v>1.0488730120767726</v>
      </c>
      <c r="N77" s="7">
        <f t="shared" si="3"/>
        <v>0.86967460182373257</v>
      </c>
    </row>
    <row r="78" spans="1:14" x14ac:dyDescent="0.3">
      <c r="A78" s="7">
        <v>75</v>
      </c>
      <c r="B78" s="9" t="s">
        <v>91</v>
      </c>
      <c r="C78" s="9">
        <v>0.44341704661342918</v>
      </c>
      <c r="D78" s="9">
        <v>0.54705297268275244</v>
      </c>
      <c r="E78" s="9">
        <v>0.29614989124408581</v>
      </c>
      <c r="F78" s="9">
        <v>0.3974083028040416</v>
      </c>
      <c r="G78" s="9">
        <v>0.45979055199775343</v>
      </c>
      <c r="H78" s="9">
        <v>1.2621278570694916</v>
      </c>
      <c r="I78" s="9">
        <v>0.38488327762098529</v>
      </c>
      <c r="J78" s="9">
        <v>0.82526677735602871</v>
      </c>
      <c r="K78" s="9">
        <v>0.200054654248564</v>
      </c>
      <c r="L78" s="9">
        <v>0.43703107065282304</v>
      </c>
      <c r="M78" s="7">
        <f t="shared" si="2"/>
        <v>1.4503854930347952</v>
      </c>
      <c r="N78" s="7">
        <f t="shared" si="3"/>
        <v>0.34886318068839461</v>
      </c>
    </row>
    <row r="79" spans="1:14" x14ac:dyDescent="0.3">
      <c r="A79" s="7">
        <v>76</v>
      </c>
      <c r="B79" s="9" t="s">
        <v>92</v>
      </c>
      <c r="C79" s="9">
        <v>5.9124842069834171</v>
      </c>
      <c r="D79" s="9">
        <v>1.7260941776326493</v>
      </c>
      <c r="E79" s="9">
        <v>3.1065729438574357</v>
      </c>
      <c r="F79" s="9">
        <v>0.88122308364700197</v>
      </c>
      <c r="G79" s="9">
        <v>1.1416916442657288</v>
      </c>
      <c r="H79" s="9">
        <v>1.6072796524480637</v>
      </c>
      <c r="I79" s="9">
        <v>2.0787631890948064</v>
      </c>
      <c r="J79" s="9">
        <v>1.5401428120958724</v>
      </c>
      <c r="K79" s="9">
        <v>1.4740251889694653</v>
      </c>
      <c r="L79" s="9">
        <v>2.086691188989886</v>
      </c>
      <c r="M79" s="7">
        <f t="shared" si="2"/>
        <v>0.688193653823018</v>
      </c>
      <c r="N79" s="7">
        <f t="shared" si="3"/>
        <v>0.41844049900674296</v>
      </c>
    </row>
    <row r="80" spans="1:14" x14ac:dyDescent="0.3">
      <c r="A80" s="7">
        <v>77</v>
      </c>
      <c r="B80" s="9" t="s">
        <v>93</v>
      </c>
      <c r="C80" s="9">
        <v>0.26745372341884827</v>
      </c>
      <c r="D80" s="9">
        <v>0.32291589845549423</v>
      </c>
      <c r="E80" s="9">
        <v>0.21055392730405803</v>
      </c>
      <c r="F80" s="9">
        <v>0.22026140411649109</v>
      </c>
      <c r="G80" s="9">
        <v>1.0279383022194466</v>
      </c>
      <c r="H80" s="9">
        <v>0.36055462543504307</v>
      </c>
      <c r="I80" s="9">
        <v>0.63467239499909911</v>
      </c>
      <c r="J80" s="9">
        <v>0.257151370221324</v>
      </c>
      <c r="K80" s="9">
        <v>0.35583646544033076</v>
      </c>
      <c r="L80" s="9">
        <v>0.11460533631492797</v>
      </c>
      <c r="M80" s="7">
        <f t="shared" si="2"/>
        <v>0.84075967015380437</v>
      </c>
      <c r="N80" s="7">
        <f t="shared" si="3"/>
        <v>0.72275847421082795</v>
      </c>
    </row>
    <row r="81" spans="1:14" x14ac:dyDescent="0.3">
      <c r="A81" s="7">
        <v>78</v>
      </c>
      <c r="B81" s="9" t="s">
        <v>94</v>
      </c>
      <c r="C81" s="9">
        <v>1.7948823368558566</v>
      </c>
      <c r="D81" s="9">
        <v>0.69075779079746003</v>
      </c>
      <c r="E81" s="9">
        <v>0.48046522341487108</v>
      </c>
      <c r="F81" s="9">
        <v>0.40482816402698613</v>
      </c>
      <c r="G81" s="9">
        <v>0.59358548690329482</v>
      </c>
      <c r="H81" s="9">
        <v>1.7843485840085815</v>
      </c>
      <c r="I81" s="9">
        <v>1.4643508942844272</v>
      </c>
      <c r="J81" s="9">
        <v>1.1832792023833651</v>
      </c>
      <c r="K81" s="9">
        <v>1.6246153189457402</v>
      </c>
      <c r="L81" s="9">
        <v>1.122611008482477</v>
      </c>
      <c r="M81" s="7">
        <f t="shared" si="2"/>
        <v>1.8108640681216654</v>
      </c>
      <c r="N81" s="7">
        <f t="shared" si="3"/>
        <v>5.3927855701697558E-2</v>
      </c>
    </row>
    <row r="82" spans="1:14" x14ac:dyDescent="0.3">
      <c r="A82" s="7">
        <v>79</v>
      </c>
      <c r="B82" s="9" t="s">
        <v>95</v>
      </c>
      <c r="C82" s="9">
        <v>8.1176562321631604E-2</v>
      </c>
      <c r="D82" s="9">
        <v>0.1057633010341411</v>
      </c>
      <c r="E82" s="9">
        <v>0.1060732169461184</v>
      </c>
      <c r="F82" s="9">
        <v>0.13237791904121268</v>
      </c>
      <c r="G82" s="9">
        <v>7.3905387024095451E-2</v>
      </c>
      <c r="H82" s="9">
        <v>0.11773932862682156</v>
      </c>
      <c r="I82" s="9">
        <v>6.8651325011802253E-2</v>
      </c>
      <c r="J82" s="9">
        <v>8.9868831213666026E-2</v>
      </c>
      <c r="K82" s="9">
        <v>6.2502484166669078E-2</v>
      </c>
      <c r="L82" s="9">
        <v>0.11428814830595867</v>
      </c>
      <c r="M82" s="7">
        <f t="shared" si="2"/>
        <v>0.90737712047394925</v>
      </c>
      <c r="N82" s="7">
        <f t="shared" si="3"/>
        <v>0.5639156469173735</v>
      </c>
    </row>
    <row r="83" spans="1:14" x14ac:dyDescent="0.3">
      <c r="A83" s="7">
        <v>80</v>
      </c>
      <c r="B83" s="9" t="s">
        <v>96</v>
      </c>
      <c r="C83" s="9">
        <v>0.51982256469086385</v>
      </c>
      <c r="D83" s="9">
        <v>1.3813768702504643</v>
      </c>
      <c r="E83" s="9">
        <v>1.6586576218324549</v>
      </c>
      <c r="F83" s="9">
        <v>0.37681880847927191</v>
      </c>
      <c r="G83" s="9">
        <v>1.6364086586923683</v>
      </c>
      <c r="H83" s="9">
        <v>2.1323811018548327</v>
      </c>
      <c r="I83" s="9">
        <v>1.7335066409432343</v>
      </c>
      <c r="J83" s="9">
        <v>1.8665032741491012</v>
      </c>
      <c r="K83" s="9">
        <v>2.7642425151438283</v>
      </c>
      <c r="L83" s="9">
        <v>1.8903873169763765</v>
      </c>
      <c r="M83" s="7">
        <f t="shared" si="2"/>
        <v>1.8637831176681952</v>
      </c>
      <c r="N83" s="7">
        <f t="shared" si="3"/>
        <v>2.0004207678473888E-2</v>
      </c>
    </row>
    <row r="84" spans="1:14" x14ac:dyDescent="0.3">
      <c r="A84" s="7">
        <v>81</v>
      </c>
      <c r="B84" s="9" t="s">
        <v>97</v>
      </c>
      <c r="C84" s="9">
        <v>0.24657035782328482</v>
      </c>
      <c r="D84" s="9">
        <v>2.0108669819714273</v>
      </c>
      <c r="E84" s="9">
        <v>2.6730047997133899</v>
      </c>
      <c r="F84" s="9">
        <v>4.6145165215083134E-2</v>
      </c>
      <c r="G84" s="9">
        <v>1.9136688438802849</v>
      </c>
      <c r="H84" s="9">
        <v>2.4627492395519974</v>
      </c>
      <c r="I84" s="9">
        <v>1.648729028325439</v>
      </c>
      <c r="J84" s="9">
        <v>3.1242261693549533</v>
      </c>
      <c r="K84" s="9">
        <v>2.1741616130253885</v>
      </c>
      <c r="L84" s="9">
        <v>3.5531649910820038</v>
      </c>
      <c r="M84" s="7">
        <f t="shared" si="2"/>
        <v>1.8813569135549704</v>
      </c>
      <c r="N84" s="7">
        <f t="shared" si="3"/>
        <v>8.6110627116510297E-2</v>
      </c>
    </row>
    <row r="85" spans="1:14" x14ac:dyDescent="0.3">
      <c r="A85" s="7">
        <v>82</v>
      </c>
      <c r="B85" s="9" t="s">
        <v>98</v>
      </c>
      <c r="C85" s="9">
        <v>0.24383378505050579</v>
      </c>
      <c r="D85" s="9">
        <v>2.1124252887887267</v>
      </c>
      <c r="E85" s="9">
        <v>3.029600782223536</v>
      </c>
      <c r="F85" s="9">
        <v>3.2629087610180033E-2</v>
      </c>
      <c r="G85" s="9">
        <v>2.093551345868863</v>
      </c>
      <c r="H85" s="9">
        <v>2.6655027120487889</v>
      </c>
      <c r="I85" s="9">
        <v>1.7362235272830893</v>
      </c>
      <c r="J85" s="9">
        <v>3.3345378017367278</v>
      </c>
      <c r="K85" s="9">
        <v>2.2153358387050126</v>
      </c>
      <c r="L85" s="9">
        <v>3.5926226813369455</v>
      </c>
      <c r="M85" s="7">
        <f t="shared" si="2"/>
        <v>1.8030018529009613</v>
      </c>
      <c r="N85" s="7">
        <f t="shared" si="3"/>
        <v>0.11252620610078472</v>
      </c>
    </row>
    <row r="86" spans="1:14" x14ac:dyDescent="0.3">
      <c r="A86" s="7">
        <v>83</v>
      </c>
      <c r="B86" s="9" t="s">
        <v>99</v>
      </c>
      <c r="C86" s="9">
        <v>4.746141052793865</v>
      </c>
      <c r="D86" s="9">
        <v>1.1914011002005178</v>
      </c>
      <c r="E86" s="9">
        <v>2.040737091352113</v>
      </c>
      <c r="F86" s="9">
        <v>1.7184476506416007</v>
      </c>
      <c r="G86" s="9">
        <v>2.3147177677796895</v>
      </c>
      <c r="H86" s="9">
        <v>2.3769739267096974</v>
      </c>
      <c r="I86" s="9">
        <v>1.057446939700257</v>
      </c>
      <c r="J86" s="9">
        <v>1.6419026431556885</v>
      </c>
      <c r="K86" s="9">
        <v>1.5723702900097156</v>
      </c>
      <c r="L86" s="9">
        <v>1.8294785042464585</v>
      </c>
      <c r="M86" s="7">
        <f t="shared" si="2"/>
        <v>0.70584118246007865</v>
      </c>
      <c r="N86" s="7">
        <f t="shared" si="3"/>
        <v>0.30925859259772104</v>
      </c>
    </row>
    <row r="87" spans="1:14" x14ac:dyDescent="0.3">
      <c r="A87" s="7">
        <v>84</v>
      </c>
      <c r="B87" s="9" t="s">
        <v>100</v>
      </c>
      <c r="C87" s="9">
        <v>1.2109078207211983</v>
      </c>
      <c r="D87" s="9">
        <v>0.55072149227999423</v>
      </c>
      <c r="E87" s="9">
        <v>0.446038854342311</v>
      </c>
      <c r="F87" s="9">
        <v>0.57264833202466003</v>
      </c>
      <c r="G87" s="9">
        <v>0.5994419826259163</v>
      </c>
      <c r="H87" s="9">
        <v>1.0360831389714993</v>
      </c>
      <c r="I87" s="9">
        <v>0.42636865940962843</v>
      </c>
      <c r="J87" s="9">
        <v>0.51575487822820743</v>
      </c>
      <c r="K87" s="9">
        <v>0.64174528818330878</v>
      </c>
      <c r="L87" s="9">
        <v>0.74980403718107069</v>
      </c>
      <c r="M87" s="7">
        <f t="shared" si="2"/>
        <v>0.99704047491154923</v>
      </c>
      <c r="N87" s="7">
        <f t="shared" si="3"/>
        <v>0.99103388904983714</v>
      </c>
    </row>
    <row r="88" spans="1:14" x14ac:dyDescent="0.3">
      <c r="A88" s="7">
        <v>85</v>
      </c>
      <c r="B88" s="9" t="s">
        <v>101</v>
      </c>
      <c r="C88" s="9">
        <v>0.83446386837528441</v>
      </c>
      <c r="D88" s="9">
        <v>1.2078347134604088</v>
      </c>
      <c r="E88" s="9">
        <v>1.2295212334431225</v>
      </c>
      <c r="F88" s="9">
        <v>0.36583414378045698</v>
      </c>
      <c r="G88" s="9">
        <v>1.2314466172684984</v>
      </c>
      <c r="H88" s="9">
        <v>1.2294644592757256</v>
      </c>
      <c r="I88" s="9">
        <v>1.0755567922729519</v>
      </c>
      <c r="J88" s="9">
        <v>0.51884684221957877</v>
      </c>
      <c r="K88" s="9">
        <v>0.89840104589294689</v>
      </c>
      <c r="L88" s="9">
        <v>1.3113349093658169</v>
      </c>
      <c r="M88" s="7">
        <f t="shared" si="2"/>
        <v>1.0337851868369736</v>
      </c>
      <c r="N88" s="7">
        <f t="shared" si="3"/>
        <v>0.88508566282343115</v>
      </c>
    </row>
    <row r="89" spans="1:14" x14ac:dyDescent="0.3">
      <c r="A89" s="7">
        <v>86</v>
      </c>
      <c r="B89" s="9" t="s">
        <v>102</v>
      </c>
      <c r="C89" s="9">
        <v>1.6923715530418302</v>
      </c>
      <c r="D89" s="9">
        <v>2.0439227299142435</v>
      </c>
      <c r="E89" s="9">
        <v>2.1084900106689108</v>
      </c>
      <c r="F89" s="9">
        <v>2.004912264990157</v>
      </c>
      <c r="G89" s="9">
        <v>1.6171636011403558</v>
      </c>
      <c r="H89" s="9">
        <v>1.9846274475579693</v>
      </c>
      <c r="I89" s="9">
        <v>1.7098323129660524</v>
      </c>
      <c r="J89" s="9">
        <v>2.0531382028276748</v>
      </c>
      <c r="K89" s="9">
        <v>1.2937449069299185</v>
      </c>
      <c r="L89" s="9">
        <v>1.9391394801288988</v>
      </c>
      <c r="M89" s="7">
        <f t="shared" si="2"/>
        <v>0.94862311250644415</v>
      </c>
      <c r="N89" s="7">
        <f t="shared" si="3"/>
        <v>0.58351968436684609</v>
      </c>
    </row>
    <row r="90" spans="1:14" x14ac:dyDescent="0.3">
      <c r="A90" s="7">
        <v>87</v>
      </c>
      <c r="B90" s="9" t="s">
        <v>103</v>
      </c>
      <c r="C90" s="9">
        <v>1.6292190495131242</v>
      </c>
      <c r="D90" s="9">
        <v>2.1908965012316775</v>
      </c>
      <c r="E90" s="9">
        <v>1.9377071366567036</v>
      </c>
      <c r="F90" s="9">
        <v>1.825832679771044</v>
      </c>
      <c r="G90" s="9">
        <v>1.83191566316279</v>
      </c>
      <c r="H90" s="9">
        <v>1.9780128299146504</v>
      </c>
      <c r="I90" s="9">
        <v>1.7138292545774225</v>
      </c>
      <c r="J90" s="9">
        <v>1.961789585616911</v>
      </c>
      <c r="K90" s="9">
        <v>1.3076442817843739</v>
      </c>
      <c r="L90" s="9">
        <v>1.8255725283999997</v>
      </c>
      <c r="M90" s="7">
        <f t="shared" si="2"/>
        <v>0.93322523424056325</v>
      </c>
      <c r="N90" s="7">
        <f t="shared" si="3"/>
        <v>0.4345718550288219</v>
      </c>
    </row>
    <row r="91" spans="1:14" x14ac:dyDescent="0.3">
      <c r="A91" s="7">
        <v>88</v>
      </c>
      <c r="B91" s="9" t="s">
        <v>104</v>
      </c>
      <c r="C91" s="9">
        <v>1.7092178129973417</v>
      </c>
      <c r="D91" s="9">
        <v>2.0775891133384419</v>
      </c>
      <c r="E91" s="9">
        <v>1.9385397277992982</v>
      </c>
      <c r="F91" s="9">
        <v>1.924733092508724</v>
      </c>
      <c r="G91" s="9">
        <v>1.5737876007277478</v>
      </c>
      <c r="H91" s="9">
        <v>1.8441681932199889</v>
      </c>
      <c r="I91" s="9">
        <v>1.6620180235402098</v>
      </c>
      <c r="J91" s="9">
        <v>2.0633214309000332</v>
      </c>
      <c r="K91" s="9">
        <v>1.341054034666924</v>
      </c>
      <c r="L91" s="9">
        <v>1.7739638900675354</v>
      </c>
      <c r="M91" s="7">
        <f t="shared" si="2"/>
        <v>0.9415275876522059</v>
      </c>
      <c r="N91" s="7">
        <f t="shared" si="3"/>
        <v>0.48920576014474992</v>
      </c>
    </row>
    <row r="92" spans="1:14" x14ac:dyDescent="0.3">
      <c r="A92" s="7">
        <v>89</v>
      </c>
      <c r="B92" s="9" t="s">
        <v>105</v>
      </c>
      <c r="C92" s="9">
        <v>1.7671710922171096</v>
      </c>
      <c r="D92" s="9">
        <v>2.2573975121866536</v>
      </c>
      <c r="E92" s="9">
        <v>2.400961807743724</v>
      </c>
      <c r="F92" s="9">
        <v>2.3450761535813189</v>
      </c>
      <c r="G92" s="9">
        <v>1.6985867648905333</v>
      </c>
      <c r="H92" s="9">
        <v>2.169282072272114</v>
      </c>
      <c r="I92" s="9">
        <v>1.8924226615276762</v>
      </c>
      <c r="J92" s="9">
        <v>2.2801365763080077</v>
      </c>
      <c r="K92" s="9">
        <v>1.5339982031587076</v>
      </c>
      <c r="L92" s="9">
        <v>1.9886701042805055</v>
      </c>
      <c r="M92" s="7">
        <f t="shared" si="2"/>
        <v>0.94224161365863734</v>
      </c>
      <c r="N92" s="7">
        <f t="shared" si="3"/>
        <v>0.55714767361005779</v>
      </c>
    </row>
    <row r="93" spans="1:14" x14ac:dyDescent="0.3">
      <c r="A93" s="7">
        <v>90</v>
      </c>
      <c r="B93" s="9" t="s">
        <v>106</v>
      </c>
      <c r="C93" s="9">
        <v>1.4991146064273706</v>
      </c>
      <c r="D93" s="9">
        <v>1.8570965173173244</v>
      </c>
      <c r="E93" s="9">
        <v>1.4073642608221975</v>
      </c>
      <c r="F93" s="9">
        <v>1.3326281646695379</v>
      </c>
      <c r="G93" s="9">
        <v>1.4550546823569077</v>
      </c>
      <c r="H93" s="9">
        <v>1.7299630048829742</v>
      </c>
      <c r="I93" s="9">
        <v>1.4638121842690826</v>
      </c>
      <c r="J93" s="9">
        <v>1.3567204312535541</v>
      </c>
      <c r="K93" s="9">
        <v>1.3367052008679239</v>
      </c>
      <c r="L93" s="9">
        <v>1.6763102520347031</v>
      </c>
      <c r="M93" s="7">
        <f t="shared" si="2"/>
        <v>1.0016226225271485</v>
      </c>
      <c r="N93" s="7">
        <f t="shared" si="3"/>
        <v>0.98445559901813606</v>
      </c>
    </row>
    <row r="94" spans="1:14" x14ac:dyDescent="0.3">
      <c r="A94" s="7">
        <v>91</v>
      </c>
      <c r="B94" s="9" t="s">
        <v>107</v>
      </c>
      <c r="C94" s="9">
        <v>1.1888870090984305</v>
      </c>
      <c r="D94" s="9">
        <v>2.1523070170321592</v>
      </c>
      <c r="E94" s="9">
        <v>2.0386214904714817</v>
      </c>
      <c r="F94" s="9">
        <v>1.7336299912670592</v>
      </c>
      <c r="G94" s="9">
        <v>0.41539905096698643</v>
      </c>
      <c r="H94" s="9">
        <v>1.6334174767940526</v>
      </c>
      <c r="I94" s="9">
        <v>0.65788890182999515</v>
      </c>
      <c r="J94" s="9">
        <v>1.4299414855984198</v>
      </c>
      <c r="K94" s="9">
        <v>0.318780647223874</v>
      </c>
      <c r="L94" s="9">
        <v>0.60457892190704965</v>
      </c>
      <c r="M94" s="7">
        <f t="shared" si="2"/>
        <v>0.61690839770391004</v>
      </c>
      <c r="N94" s="7">
        <f t="shared" si="3"/>
        <v>0.19585256659701247</v>
      </c>
    </row>
    <row r="95" spans="1:14" x14ac:dyDescent="0.3">
      <c r="A95" s="7">
        <v>92</v>
      </c>
      <c r="B95" s="9" t="s">
        <v>108</v>
      </c>
      <c r="C95" s="9">
        <v>0.62263696450856043</v>
      </c>
      <c r="D95" s="9">
        <v>0.73571090727124122</v>
      </c>
      <c r="E95" s="9">
        <v>0.88505306825978536</v>
      </c>
      <c r="F95" s="9">
        <v>1.0912794307318341</v>
      </c>
      <c r="G95" s="9">
        <v>0.94330277677322572</v>
      </c>
      <c r="H95" s="9">
        <v>1.6026861710891658</v>
      </c>
      <c r="I95" s="9">
        <v>0.78707993456553493</v>
      </c>
      <c r="J95" s="9">
        <v>0.10110751073666409</v>
      </c>
      <c r="K95" s="9">
        <v>0.36285297983648934</v>
      </c>
      <c r="L95" s="9">
        <v>0.47815596173041108</v>
      </c>
      <c r="M95" s="7">
        <f t="shared" si="2"/>
        <v>0.77884424576814959</v>
      </c>
      <c r="N95" s="7">
        <f t="shared" si="3"/>
        <v>0.50513741039498727</v>
      </c>
    </row>
    <row r="96" spans="1:14" x14ac:dyDescent="0.3">
      <c r="A96" s="7">
        <v>93</v>
      </c>
      <c r="B96" s="9" t="s">
        <v>109</v>
      </c>
      <c r="C96" s="9">
        <v>2.6409338147752441</v>
      </c>
      <c r="D96" s="9">
        <v>1.3088706936739538</v>
      </c>
      <c r="E96" s="9">
        <v>1.4158434245511629</v>
      </c>
      <c r="F96" s="9">
        <v>1.946275511985424</v>
      </c>
      <c r="G96" s="9">
        <v>1.2899549676530633</v>
      </c>
      <c r="H96" s="9">
        <v>3.3418117726853245</v>
      </c>
      <c r="I96" s="9">
        <v>0.93291589922852547</v>
      </c>
      <c r="J96" s="9">
        <v>1.5994106074826078</v>
      </c>
      <c r="K96" s="9">
        <v>1.4103921457017101</v>
      </c>
      <c r="L96" s="9">
        <v>2.2077038879831434</v>
      </c>
      <c r="M96" s="7">
        <f t="shared" si="2"/>
        <v>1.1035071478264855</v>
      </c>
      <c r="N96" s="7">
        <f t="shared" si="3"/>
        <v>0.72523989858340654</v>
      </c>
    </row>
    <row r="97" spans="1:14" x14ac:dyDescent="0.3">
      <c r="A97" s="7">
        <v>94</v>
      </c>
      <c r="B97" s="9" t="s">
        <v>110</v>
      </c>
      <c r="C97" s="9">
        <v>2.847453785498355</v>
      </c>
      <c r="D97" s="9">
        <v>1.7616872876622258</v>
      </c>
      <c r="E97" s="9">
        <v>1.5807282963924183</v>
      </c>
      <c r="F97" s="9">
        <v>2.7160077041140469</v>
      </c>
      <c r="G97" s="9">
        <v>1.0756513987612573</v>
      </c>
      <c r="H97" s="9">
        <v>3.7075543535894444</v>
      </c>
      <c r="I97" s="9">
        <v>1.4975799672614514</v>
      </c>
      <c r="J97" s="9">
        <v>1.8035798849971567</v>
      </c>
      <c r="K97" s="9">
        <v>1.3624673469452346</v>
      </c>
      <c r="L97" s="9">
        <v>2.1254455432923218</v>
      </c>
      <c r="M97" s="7">
        <f t="shared" si="2"/>
        <v>1.0516051850255348</v>
      </c>
      <c r="N97" s="7">
        <f t="shared" si="3"/>
        <v>0.85425633450543514</v>
      </c>
    </row>
    <row r="98" spans="1:14" x14ac:dyDescent="0.3">
      <c r="A98" s="7">
        <v>95</v>
      </c>
      <c r="B98" s="9" t="s">
        <v>111</v>
      </c>
      <c r="C98" s="9">
        <v>0.49758271301027995</v>
      </c>
      <c r="D98" s="9">
        <v>0.72145636911989786</v>
      </c>
      <c r="E98" s="9">
        <v>0.42304586534654776</v>
      </c>
      <c r="F98" s="9">
        <v>0.40292052025018649</v>
      </c>
      <c r="G98" s="9">
        <v>0.66308171956569484</v>
      </c>
      <c r="H98" s="9">
        <v>0.76867394176462756</v>
      </c>
      <c r="I98" s="9">
        <v>1.5662531687049426</v>
      </c>
      <c r="J98" s="9">
        <v>1.6055954259022558</v>
      </c>
      <c r="K98" s="9">
        <v>0.38989038866986758</v>
      </c>
      <c r="L98" s="9">
        <v>0.37949663342825696</v>
      </c>
      <c r="M98" s="7">
        <f t="shared" si="2"/>
        <v>1.7392015960825296</v>
      </c>
      <c r="N98" s="7">
        <f t="shared" si="3"/>
        <v>0.19007236351439699</v>
      </c>
    </row>
    <row r="99" spans="1:14" x14ac:dyDescent="0.3">
      <c r="A99" s="7">
        <v>96</v>
      </c>
      <c r="B99" s="9" t="s">
        <v>112</v>
      </c>
      <c r="C99" s="9">
        <v>0.22089018597869511</v>
      </c>
      <c r="D99" s="9">
        <v>0.34404679324486925</v>
      </c>
      <c r="E99" s="9">
        <v>0.13992769580366135</v>
      </c>
      <c r="F99" s="9">
        <v>0.16957628930741719</v>
      </c>
      <c r="G99" s="9">
        <v>0.4399890073702058</v>
      </c>
      <c r="H99" s="9">
        <v>0.51393573070981391</v>
      </c>
      <c r="I99" s="9">
        <v>0.61514545335762438</v>
      </c>
      <c r="J99" s="9">
        <v>0.34875795288870537</v>
      </c>
      <c r="K99" s="9">
        <v>0.18410053700465284</v>
      </c>
      <c r="L99" s="9">
        <v>0.10530479654065052</v>
      </c>
      <c r="M99" s="7">
        <f t="shared" si="2"/>
        <v>1.3444949586848565</v>
      </c>
      <c r="N99" s="7">
        <f t="shared" si="3"/>
        <v>0.43964231821842348</v>
      </c>
    </row>
    <row r="100" spans="1:14" x14ac:dyDescent="0.3">
      <c r="A100" s="7">
        <v>97</v>
      </c>
      <c r="B100" s="9" t="s">
        <v>113</v>
      </c>
      <c r="C100" s="9">
        <v>7.227446439399704E-2</v>
      </c>
      <c r="D100" s="9">
        <v>0.13011749023376482</v>
      </c>
      <c r="E100" s="9">
        <v>0.14804415941215213</v>
      </c>
      <c r="F100" s="9">
        <v>6.0340109838661615E-2</v>
      </c>
      <c r="G100" s="9">
        <v>0.12859690041673708</v>
      </c>
      <c r="H100" s="9">
        <v>0.20131476454608507</v>
      </c>
      <c r="I100" s="9">
        <v>8.5643036654487206E-2</v>
      </c>
      <c r="J100" s="9">
        <v>0.14901670946303625</v>
      </c>
      <c r="K100" s="9">
        <v>8.9231618312415689E-2</v>
      </c>
      <c r="L100" s="9">
        <v>0.12190504399202681</v>
      </c>
      <c r="M100" s="7">
        <f t="shared" si="2"/>
        <v>1.1997467871865091</v>
      </c>
      <c r="N100" s="7">
        <f t="shared" si="3"/>
        <v>0.45702675780520485</v>
      </c>
    </row>
    <row r="101" spans="1:14" x14ac:dyDescent="0.3">
      <c r="A101" s="7">
        <v>98</v>
      </c>
      <c r="B101" s="9" t="s">
        <v>114</v>
      </c>
      <c r="C101" s="9">
        <v>0.58547655633476603</v>
      </c>
      <c r="D101" s="9">
        <v>2.550112994505362</v>
      </c>
      <c r="E101" s="9">
        <v>0.74925432041423812</v>
      </c>
      <c r="F101" s="9">
        <v>0.63485344802464549</v>
      </c>
      <c r="G101" s="9">
        <v>3.0607917105737212</v>
      </c>
      <c r="H101" s="9">
        <v>3.1843252254823304</v>
      </c>
      <c r="I101" s="9">
        <v>0.33930568138985762</v>
      </c>
      <c r="J101" s="9">
        <v>3.5524097607738123</v>
      </c>
      <c r="K101" s="9">
        <v>2.5142056069703513</v>
      </c>
      <c r="L101" s="9">
        <v>9.0097116785166538</v>
      </c>
      <c r="M101" s="7">
        <f t="shared" si="2"/>
        <v>2.4536620104434537</v>
      </c>
      <c r="N101" s="7">
        <f t="shared" si="3"/>
        <v>0.18790232516057515</v>
      </c>
    </row>
    <row r="102" spans="1:14" x14ac:dyDescent="0.3">
      <c r="A102" s="7">
        <v>99</v>
      </c>
      <c r="B102" s="9" t="s">
        <v>115</v>
      </c>
      <c r="C102" s="9">
        <v>0.59858475542446332</v>
      </c>
      <c r="D102" s="9">
        <v>2.5874029988025997</v>
      </c>
      <c r="E102" s="9">
        <v>0.5213080800440506</v>
      </c>
      <c r="F102" s="9">
        <v>0.53727440952034156</v>
      </c>
      <c r="G102" s="9">
        <v>2.7490661948733628</v>
      </c>
      <c r="H102" s="9">
        <v>3.2476194574959822</v>
      </c>
      <c r="I102" s="9">
        <v>0.26912266713095956</v>
      </c>
      <c r="J102" s="9">
        <v>2.8840727771925896</v>
      </c>
      <c r="K102" s="9">
        <v>2.506668207702702</v>
      </c>
      <c r="L102" s="9">
        <v>7.0584954738878034</v>
      </c>
      <c r="M102" s="7">
        <f t="shared" si="2"/>
        <v>2.2829294492834928</v>
      </c>
      <c r="N102" s="7">
        <f t="shared" si="3"/>
        <v>0.17744945236797058</v>
      </c>
    </row>
    <row r="103" spans="1:14" x14ac:dyDescent="0.3">
      <c r="A103" s="7">
        <v>100</v>
      </c>
      <c r="B103" s="9" t="s">
        <v>116</v>
      </c>
      <c r="C103" s="9">
        <v>0.22184890217730674</v>
      </c>
      <c r="D103" s="9">
        <v>2.3461818493091098</v>
      </c>
      <c r="E103" s="9">
        <v>0.41849615963632764</v>
      </c>
      <c r="F103" s="9">
        <v>0.41121297628710662</v>
      </c>
      <c r="G103" s="9">
        <v>2.3752223635974126</v>
      </c>
      <c r="H103" s="9">
        <v>2.4290492515243729</v>
      </c>
      <c r="I103" s="9">
        <v>0.16595487443722443</v>
      </c>
      <c r="J103" s="9">
        <v>2.7079477073250664</v>
      </c>
      <c r="K103" s="9">
        <v>1.9133744553021026</v>
      </c>
      <c r="L103" s="9">
        <v>6.5770761792147914</v>
      </c>
      <c r="M103" s="7">
        <f t="shared" si="2"/>
        <v>2.3893110448447663</v>
      </c>
      <c r="N103" s="7">
        <f t="shared" si="3"/>
        <v>0.20476977343762645</v>
      </c>
    </row>
    <row r="104" spans="1:14" x14ac:dyDescent="0.3">
      <c r="A104" s="7">
        <v>101</v>
      </c>
      <c r="B104" s="9" t="s">
        <v>117</v>
      </c>
      <c r="C104" s="9">
        <v>0.48687407924516107</v>
      </c>
      <c r="D104" s="9">
        <v>1.0781037999462462</v>
      </c>
      <c r="E104" s="9">
        <v>0.87271537990497627</v>
      </c>
      <c r="F104" s="9">
        <v>0.76248734900818094</v>
      </c>
      <c r="G104" s="9">
        <v>0.70499332604117404</v>
      </c>
      <c r="H104" s="9">
        <v>0.88320473374123565</v>
      </c>
      <c r="I104" s="9">
        <v>0.59965862975424389</v>
      </c>
      <c r="J104" s="9">
        <v>0.52164234632731954</v>
      </c>
      <c r="K104" s="9">
        <v>0.68010409211462497</v>
      </c>
      <c r="L104" s="9">
        <v>0.48685967233685168</v>
      </c>
      <c r="M104" s="7">
        <f t="shared" si="2"/>
        <v>0.81211990240533005</v>
      </c>
      <c r="N104" s="7">
        <f t="shared" si="3"/>
        <v>0.25694240258574352</v>
      </c>
    </row>
    <row r="105" spans="1:14" x14ac:dyDescent="0.3">
      <c r="A105" s="7">
        <v>102</v>
      </c>
      <c r="B105" s="9" t="s">
        <v>118</v>
      </c>
      <c r="C105" s="9">
        <v>1.8274430874280434</v>
      </c>
      <c r="D105" s="9">
        <v>0.82430899957136849</v>
      </c>
      <c r="E105" s="9">
        <v>1.4136371881008385</v>
      </c>
      <c r="F105" s="9">
        <v>3.2264674244025264</v>
      </c>
      <c r="G105" s="9">
        <v>2.0236359880735355</v>
      </c>
      <c r="H105" s="9">
        <v>1.7337056181644197</v>
      </c>
      <c r="I105" s="9">
        <v>1.7127305260553118</v>
      </c>
      <c r="J105" s="9">
        <v>1.8752603157289338</v>
      </c>
      <c r="K105" s="9">
        <v>0.4608333534529489</v>
      </c>
      <c r="L105" s="9">
        <v>0.9944987272672694</v>
      </c>
      <c r="M105" s="7">
        <f t="shared" si="2"/>
        <v>0.7275008169677516</v>
      </c>
      <c r="N105" s="7">
        <f t="shared" si="3"/>
        <v>0.32258067423687919</v>
      </c>
    </row>
    <row r="106" spans="1:14" x14ac:dyDescent="0.3">
      <c r="A106" s="7">
        <v>103</v>
      </c>
      <c r="B106" s="9" t="s">
        <v>119</v>
      </c>
      <c r="C106" s="9">
        <v>2.2505020653370176</v>
      </c>
      <c r="D106" s="9">
        <v>1.544728257587781</v>
      </c>
      <c r="E106" s="9">
        <v>1.6250911827695675</v>
      </c>
      <c r="F106" s="9">
        <v>5.3041650945375194</v>
      </c>
      <c r="G106" s="9">
        <v>2.1019933797860122</v>
      </c>
      <c r="H106" s="9">
        <v>2.1145227505092072</v>
      </c>
      <c r="I106" s="9">
        <v>2.8430008872577432</v>
      </c>
      <c r="J106" s="9">
        <v>2.0880905887041066</v>
      </c>
      <c r="K106" s="9">
        <v>0.7714511416408576</v>
      </c>
      <c r="L106" s="9">
        <v>1.9457707555698318</v>
      </c>
      <c r="M106" s="7">
        <f t="shared" si="2"/>
        <v>0.76114695059681714</v>
      </c>
      <c r="N106" s="7">
        <f t="shared" si="3"/>
        <v>0.45125198659336552</v>
      </c>
    </row>
    <row r="107" spans="1:14" x14ac:dyDescent="0.3">
      <c r="A107" s="7">
        <v>104</v>
      </c>
      <c r="B107" s="9" t="s">
        <v>120</v>
      </c>
      <c r="C107" s="9">
        <v>3.1634971892903749</v>
      </c>
      <c r="D107" s="9">
        <v>1.5903045831784348</v>
      </c>
      <c r="E107" s="9">
        <v>2.2859700352850361</v>
      </c>
      <c r="F107" s="9">
        <v>5.4323390158314959</v>
      </c>
      <c r="G107" s="9">
        <v>2.1357566349074442</v>
      </c>
      <c r="H107" s="9">
        <v>2.0977041397287697</v>
      </c>
      <c r="I107" s="9">
        <v>2.8718940166309306</v>
      </c>
      <c r="J107" s="9">
        <v>2.0798664026281868</v>
      </c>
      <c r="K107" s="9">
        <v>0.76676252716161797</v>
      </c>
      <c r="L107" s="9">
        <v>2.8267012946648933</v>
      </c>
      <c r="M107" s="7">
        <f t="shared" si="2"/>
        <v>0.72857509222722072</v>
      </c>
      <c r="N107" s="7">
        <f t="shared" si="3"/>
        <v>0.33693512348127835</v>
      </c>
    </row>
    <row r="108" spans="1:14" x14ac:dyDescent="0.3">
      <c r="A108" s="7">
        <v>105</v>
      </c>
      <c r="B108" s="9" t="s">
        <v>121</v>
      </c>
      <c r="C108" s="9">
        <v>2.2915132187790452</v>
      </c>
      <c r="D108" s="9">
        <v>1.0186058406401886</v>
      </c>
      <c r="E108" s="9">
        <v>1.9392962643508336</v>
      </c>
      <c r="F108" s="9">
        <v>5.7857106741629503</v>
      </c>
      <c r="G108" s="9">
        <v>2.8772594700026586</v>
      </c>
      <c r="H108" s="9">
        <v>1.6783356032543701</v>
      </c>
      <c r="I108" s="9">
        <v>2.7610055041804258</v>
      </c>
      <c r="J108" s="9">
        <v>2.1210013678159276</v>
      </c>
      <c r="K108" s="9">
        <v>0.59028167935745524</v>
      </c>
      <c r="L108" s="9">
        <v>1.3414035187464157</v>
      </c>
      <c r="M108" s="7">
        <f t="shared" si="2"/>
        <v>0.61039335726618882</v>
      </c>
      <c r="N108" s="7">
        <f t="shared" si="3"/>
        <v>0.25670026219907288</v>
      </c>
    </row>
    <row r="109" spans="1:14" x14ac:dyDescent="0.3">
      <c r="A109" s="7">
        <v>106</v>
      </c>
      <c r="B109" s="9" t="s">
        <v>122</v>
      </c>
      <c r="C109" s="9">
        <v>0.3683634446107163</v>
      </c>
      <c r="D109" s="9">
        <v>0.3677322445925994</v>
      </c>
      <c r="E109" s="9">
        <v>0.31157243453780847</v>
      </c>
      <c r="F109" s="9">
        <v>0.53959446302571479</v>
      </c>
      <c r="G109" s="9">
        <v>0.47509566621556176</v>
      </c>
      <c r="H109" s="9">
        <v>0.45552928563823009</v>
      </c>
      <c r="I109" s="9">
        <v>0.30985150204995698</v>
      </c>
      <c r="J109" s="9">
        <v>0.36461246720248341</v>
      </c>
      <c r="K109" s="9">
        <v>0.33950925804001625</v>
      </c>
      <c r="L109" s="9">
        <v>0.53538039117754566</v>
      </c>
      <c r="M109" s="7">
        <f t="shared" si="2"/>
        <v>0.97213124887926117</v>
      </c>
      <c r="N109" s="7">
        <f t="shared" si="3"/>
        <v>0.84934827225689258</v>
      </c>
    </row>
    <row r="110" spans="1:14" x14ac:dyDescent="0.3">
      <c r="A110" s="7">
        <v>107</v>
      </c>
      <c r="B110" s="9" t="s">
        <v>123</v>
      </c>
      <c r="C110" s="9">
        <v>1.0697061838620621</v>
      </c>
      <c r="D110" s="9">
        <v>1.2058133982308175</v>
      </c>
      <c r="E110" s="9">
        <v>0.9571225970063677</v>
      </c>
      <c r="F110" s="9">
        <v>0.94965797636627036</v>
      </c>
      <c r="G110" s="9">
        <v>1.0125459916563071</v>
      </c>
      <c r="H110" s="9">
        <v>1.4697016846218867</v>
      </c>
      <c r="I110" s="9">
        <v>1.1165527184084245</v>
      </c>
      <c r="J110" s="9">
        <v>1.3936412224062309</v>
      </c>
      <c r="K110" s="9">
        <v>0.9594034302085247</v>
      </c>
      <c r="L110" s="9">
        <v>0.71692881847324053</v>
      </c>
      <c r="M110" s="7">
        <f t="shared" si="2"/>
        <v>1.0888152822874471</v>
      </c>
      <c r="N110" s="7">
        <f t="shared" si="3"/>
        <v>0.54621389209862048</v>
      </c>
    </row>
    <row r="111" spans="1:14" x14ac:dyDescent="0.3">
      <c r="A111" s="7">
        <v>108</v>
      </c>
      <c r="B111" s="9" t="s">
        <v>124</v>
      </c>
      <c r="C111" s="9">
        <v>0.45344517648490812</v>
      </c>
      <c r="D111" s="9">
        <v>0.51335614858974699</v>
      </c>
      <c r="E111" s="9">
        <v>0.38443015203613307</v>
      </c>
      <c r="F111" s="9">
        <v>0.48945128958438361</v>
      </c>
      <c r="G111" s="9">
        <v>0.47738663899314088</v>
      </c>
      <c r="H111" s="9">
        <v>0.3708252074804983</v>
      </c>
      <c r="I111" s="9">
        <v>0.60063250375443045</v>
      </c>
      <c r="J111" s="9">
        <v>0.86966045615604803</v>
      </c>
      <c r="K111" s="9">
        <v>0.54704103898199807</v>
      </c>
      <c r="L111" s="9">
        <v>0.74693163007054464</v>
      </c>
      <c r="M111" s="7">
        <f t="shared" si="2"/>
        <v>1.3524577084492455</v>
      </c>
      <c r="N111" s="7">
        <f t="shared" si="3"/>
        <v>0.10115808063458216</v>
      </c>
    </row>
    <row r="112" spans="1:14" x14ac:dyDescent="0.3">
      <c r="A112" s="7">
        <v>109</v>
      </c>
      <c r="B112" s="9" t="s">
        <v>125</v>
      </c>
      <c r="C112" s="9">
        <v>1.1170414292956461</v>
      </c>
      <c r="D112" s="9">
        <v>1.1487769842060946</v>
      </c>
      <c r="E112" s="9">
        <v>0.95515882007429742</v>
      </c>
      <c r="F112" s="9">
        <v>0.64257514984131925</v>
      </c>
      <c r="G112" s="9">
        <v>1.0167517850000203</v>
      </c>
      <c r="H112" s="9">
        <v>1.4959211835871371</v>
      </c>
      <c r="I112" s="9">
        <v>1.1132040858746177</v>
      </c>
      <c r="J112" s="9">
        <v>1.4233069731921006</v>
      </c>
      <c r="K112" s="9">
        <v>0.99399022576427176</v>
      </c>
      <c r="L112" s="9">
        <v>0.70643872004719566</v>
      </c>
      <c r="M112" s="7">
        <f t="shared" si="2"/>
        <v>1.1746934188170526</v>
      </c>
      <c r="N112" s="7">
        <f t="shared" si="3"/>
        <v>0.34591453989760274</v>
      </c>
    </row>
  </sheetData>
  <conditionalFormatting sqref="N4:N112">
    <cfRule type="cellIs" dxfId="2" priority="3" operator="lessThanOrEqual">
      <formula>0.05</formula>
    </cfRule>
  </conditionalFormatting>
  <conditionalFormatting sqref="M3:M112">
    <cfRule type="cellIs" dxfId="1" priority="1" operator="lessThanOrEqual">
      <formula>0.8</formula>
    </cfRule>
    <cfRule type="cellIs" dxfId="0" priority="2" operator="greaterThanOrEqual">
      <formula>1.2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9"/>
  <sheetViews>
    <sheetView workbookViewId="0">
      <selection activeCell="A33" sqref="A33:XFD34"/>
    </sheetView>
  </sheetViews>
  <sheetFormatPr defaultColWidth="9.08984375" defaultRowHeight="14" x14ac:dyDescent="0.3"/>
  <cols>
    <col min="1" max="1" width="9.08984375" style="7"/>
    <col min="2" max="2" width="41.453125" style="7" customWidth="1"/>
    <col min="3" max="3" width="12" style="7" bestFit="1" customWidth="1"/>
    <col min="4" max="4" width="14" style="7" bestFit="1" customWidth="1"/>
    <col min="5" max="16384" width="9.08984375" style="7"/>
  </cols>
  <sheetData>
    <row r="1" spans="1:4" x14ac:dyDescent="0.3">
      <c r="A1" s="7" t="s">
        <v>13</v>
      </c>
      <c r="B1" s="9" t="s">
        <v>126</v>
      </c>
      <c r="C1" s="7" t="s">
        <v>15</v>
      </c>
      <c r="D1" s="7" t="s">
        <v>16</v>
      </c>
    </row>
    <row r="2" spans="1:4" x14ac:dyDescent="0.3">
      <c r="A2" s="7">
        <v>3</v>
      </c>
      <c r="B2" s="9" t="s">
        <v>19</v>
      </c>
      <c r="C2" s="7">
        <v>1.78057004530129</v>
      </c>
      <c r="D2" s="7">
        <v>0.54021370397593049</v>
      </c>
    </row>
    <row r="3" spans="1:4" s="13" customFormat="1" x14ac:dyDescent="0.3">
      <c r="A3" s="13">
        <v>4</v>
      </c>
      <c r="B3" s="14" t="s">
        <v>20</v>
      </c>
      <c r="C3" s="13">
        <v>1.7579798063664214</v>
      </c>
      <c r="D3" s="13">
        <v>0.56463496910237776</v>
      </c>
    </row>
    <row r="4" spans="1:4" x14ac:dyDescent="0.3">
      <c r="A4" s="7">
        <v>5</v>
      </c>
      <c r="B4" s="9" t="s">
        <v>21</v>
      </c>
      <c r="C4" s="7">
        <v>2.3626723149987852</v>
      </c>
      <c r="D4" s="7">
        <v>0.14442406253097803</v>
      </c>
    </row>
    <row r="5" spans="1:4" x14ac:dyDescent="0.3">
      <c r="A5" s="7">
        <v>6</v>
      </c>
      <c r="B5" s="9" t="s">
        <v>22</v>
      </c>
      <c r="C5" s="7">
        <v>1.3248203485006318</v>
      </c>
      <c r="D5" s="7">
        <v>0.53960787689654288</v>
      </c>
    </row>
    <row r="6" spans="1:4" x14ac:dyDescent="0.3">
      <c r="A6" s="7">
        <v>10</v>
      </c>
      <c r="B6" s="9" t="s">
        <v>26</v>
      </c>
      <c r="C6" s="7">
        <v>1.2132111952009321</v>
      </c>
      <c r="D6" s="7">
        <v>9.5137833746352582E-3</v>
      </c>
    </row>
    <row r="7" spans="1:4" x14ac:dyDescent="0.3">
      <c r="A7" s="7">
        <v>12</v>
      </c>
      <c r="B7" s="9" t="s">
        <v>28</v>
      </c>
      <c r="C7" s="7">
        <v>0.54616102574353076</v>
      </c>
      <c r="D7" s="7">
        <v>4.5389501717615563E-2</v>
      </c>
    </row>
    <row r="8" spans="1:4" x14ac:dyDescent="0.3">
      <c r="A8" s="7">
        <v>14</v>
      </c>
      <c r="B8" s="9" t="s">
        <v>30</v>
      </c>
      <c r="C8" s="7">
        <v>1.8398426482653685</v>
      </c>
      <c r="D8" s="7">
        <v>0.24029602611655274</v>
      </c>
    </row>
    <row r="9" spans="1:4" x14ac:dyDescent="0.3">
      <c r="A9" s="7">
        <v>15</v>
      </c>
      <c r="B9" s="9" t="s">
        <v>31</v>
      </c>
      <c r="C9" s="7">
        <v>0.37983999372955557</v>
      </c>
      <c r="D9" s="7">
        <v>0.20540272752332395</v>
      </c>
    </row>
    <row r="10" spans="1:4" x14ac:dyDescent="0.3">
      <c r="A10" s="7">
        <v>16</v>
      </c>
      <c r="B10" s="9" t="s">
        <v>32</v>
      </c>
      <c r="C10" s="7">
        <v>0.35339927759562717</v>
      </c>
      <c r="D10" s="7">
        <v>0.24928357380523083</v>
      </c>
    </row>
    <row r="11" spans="1:4" x14ac:dyDescent="0.3">
      <c r="A11" s="7">
        <v>18</v>
      </c>
      <c r="B11" s="9" t="s">
        <v>34</v>
      </c>
      <c r="C11" s="7">
        <v>0.58617255055121897</v>
      </c>
      <c r="D11" s="7">
        <v>3.5967547824155045E-2</v>
      </c>
    </row>
    <row r="12" spans="1:4" x14ac:dyDescent="0.3">
      <c r="A12" s="7">
        <v>19</v>
      </c>
      <c r="B12" s="9" t="s">
        <v>35</v>
      </c>
      <c r="C12" s="7">
        <v>2.5365413374767956</v>
      </c>
      <c r="D12" s="7">
        <v>5.5718729210550107E-2</v>
      </c>
    </row>
    <row r="13" spans="1:4" x14ac:dyDescent="0.3">
      <c r="A13" s="7">
        <v>21</v>
      </c>
      <c r="B13" s="9" t="s">
        <v>37</v>
      </c>
      <c r="C13" s="7">
        <v>0.49975682174147223</v>
      </c>
      <c r="D13" s="7">
        <v>8.9249099047045338E-2</v>
      </c>
    </row>
    <row r="14" spans="1:4" x14ac:dyDescent="0.3">
      <c r="A14" s="7">
        <v>22</v>
      </c>
      <c r="B14" s="9" t="s">
        <v>38</v>
      </c>
      <c r="C14" s="7">
        <v>1.3306901031983567</v>
      </c>
      <c r="D14" s="7">
        <v>0.19504311910908792</v>
      </c>
    </row>
    <row r="15" spans="1:4" x14ac:dyDescent="0.3">
      <c r="A15" s="7">
        <v>25</v>
      </c>
      <c r="B15" s="9" t="s">
        <v>41</v>
      </c>
      <c r="C15" s="7">
        <v>1.3141384039341224</v>
      </c>
      <c r="D15" s="7">
        <v>0.6268831832834898</v>
      </c>
    </row>
    <row r="16" spans="1:4" x14ac:dyDescent="0.3">
      <c r="A16" s="7">
        <v>26</v>
      </c>
      <c r="B16" s="9" t="s">
        <v>42</v>
      </c>
      <c r="C16" s="7">
        <v>0.66680314361547832</v>
      </c>
      <c r="D16" s="7">
        <v>0.13505571913434383</v>
      </c>
    </row>
    <row r="17" spans="1:4" x14ac:dyDescent="0.3">
      <c r="A17" s="7">
        <v>28</v>
      </c>
      <c r="B17" s="9" t="s">
        <v>44</v>
      </c>
      <c r="C17" s="7">
        <v>1.8594105514203847</v>
      </c>
      <c r="D17" s="7">
        <v>3.2349219365386025E-2</v>
      </c>
    </row>
    <row r="18" spans="1:4" x14ac:dyDescent="0.3">
      <c r="A18" s="7">
        <v>31</v>
      </c>
      <c r="B18" s="9" t="s">
        <v>47</v>
      </c>
      <c r="C18" s="7">
        <v>1.3368226652436177</v>
      </c>
      <c r="D18" s="7">
        <v>2.9693669818653557E-2</v>
      </c>
    </row>
    <row r="19" spans="1:4" x14ac:dyDescent="0.3">
      <c r="A19" s="7">
        <v>32</v>
      </c>
      <c r="B19" s="9" t="s">
        <v>48</v>
      </c>
      <c r="C19" s="7">
        <v>1.4834670818550169</v>
      </c>
      <c r="D19" s="7">
        <v>0.20415605750600491</v>
      </c>
    </row>
    <row r="20" spans="1:4" x14ac:dyDescent="0.3">
      <c r="A20" s="7">
        <v>33</v>
      </c>
      <c r="B20" s="9" t="s">
        <v>49</v>
      </c>
      <c r="C20" s="7">
        <v>0.68652206587156106</v>
      </c>
      <c r="D20" s="7">
        <v>0.294587927078929</v>
      </c>
    </row>
    <row r="21" spans="1:4" x14ac:dyDescent="0.3">
      <c r="A21" s="7">
        <v>34</v>
      </c>
      <c r="B21" s="9" t="s">
        <v>50</v>
      </c>
      <c r="C21" s="7">
        <v>1.3830904122628678</v>
      </c>
      <c r="D21" s="7">
        <v>0.2199664404653916</v>
      </c>
    </row>
    <row r="22" spans="1:4" x14ac:dyDescent="0.3">
      <c r="A22" s="7">
        <v>35</v>
      </c>
      <c r="B22" s="9" t="s">
        <v>51</v>
      </c>
      <c r="C22" s="7">
        <v>1.270062079996253</v>
      </c>
      <c r="D22" s="7">
        <v>0.14050028295765848</v>
      </c>
    </row>
    <row r="23" spans="1:4" x14ac:dyDescent="0.3">
      <c r="A23" s="7">
        <v>36</v>
      </c>
      <c r="B23" s="9" t="s">
        <v>52</v>
      </c>
      <c r="C23" s="7">
        <v>1.2334481004124209</v>
      </c>
      <c r="D23" s="7">
        <v>0.17482500433651008</v>
      </c>
    </row>
    <row r="24" spans="1:4" x14ac:dyDescent="0.3">
      <c r="A24" s="7">
        <v>37</v>
      </c>
      <c r="B24" s="9" t="s">
        <v>53</v>
      </c>
      <c r="C24" s="7">
        <v>1.2727699651743534</v>
      </c>
      <c r="D24" s="7">
        <v>0.62425049485860007</v>
      </c>
    </row>
    <row r="25" spans="1:4" x14ac:dyDescent="0.3">
      <c r="A25" s="7">
        <v>38</v>
      </c>
      <c r="B25" s="9" t="s">
        <v>54</v>
      </c>
      <c r="C25" s="7">
        <v>1.6050024019901585</v>
      </c>
      <c r="D25" s="7">
        <v>0.15752975662290655</v>
      </c>
    </row>
    <row r="26" spans="1:4" x14ac:dyDescent="0.3">
      <c r="A26" s="7">
        <v>40</v>
      </c>
      <c r="B26" s="9" t="s">
        <v>56</v>
      </c>
      <c r="C26" s="7">
        <v>0.40673154658559341</v>
      </c>
      <c r="D26" s="7">
        <v>5.6226230817034914E-3</v>
      </c>
    </row>
    <row r="27" spans="1:4" x14ac:dyDescent="0.3">
      <c r="A27" s="7">
        <v>41</v>
      </c>
      <c r="B27" s="9" t="s">
        <v>57</v>
      </c>
      <c r="C27" s="7">
        <v>1.5681558027188816</v>
      </c>
      <c r="D27" s="7">
        <v>2.1266280079097259E-2</v>
      </c>
    </row>
    <row r="28" spans="1:4" x14ac:dyDescent="0.3">
      <c r="A28" s="7">
        <v>42</v>
      </c>
      <c r="B28" s="9" t="s">
        <v>58</v>
      </c>
      <c r="C28" s="7">
        <v>1.2434259306882818</v>
      </c>
      <c r="D28" s="7">
        <v>0.38992418936759743</v>
      </c>
    </row>
    <row r="29" spans="1:4" x14ac:dyDescent="0.3">
      <c r="A29" s="7">
        <v>43</v>
      </c>
      <c r="B29" s="9" t="s">
        <v>59</v>
      </c>
      <c r="C29" s="7">
        <v>1.6014715828837185</v>
      </c>
      <c r="D29" s="7">
        <v>3.503300385651089E-2</v>
      </c>
    </row>
    <row r="30" spans="1:4" x14ac:dyDescent="0.3">
      <c r="A30" s="7">
        <v>51</v>
      </c>
      <c r="B30" s="9" t="s">
        <v>67</v>
      </c>
      <c r="C30" s="7">
        <v>0.54952549719072841</v>
      </c>
      <c r="D30" s="7">
        <v>0.21565802943225482</v>
      </c>
    </row>
    <row r="31" spans="1:4" x14ac:dyDescent="0.3">
      <c r="A31" s="7">
        <v>52</v>
      </c>
      <c r="B31" s="9" t="s">
        <v>68</v>
      </c>
      <c r="C31" s="7">
        <v>0.78774305355318408</v>
      </c>
      <c r="D31" s="7">
        <v>0.5095861491036815</v>
      </c>
    </row>
    <row r="32" spans="1:4" x14ac:dyDescent="0.3">
      <c r="A32" s="7">
        <v>54</v>
      </c>
      <c r="B32" s="9" t="s">
        <v>70</v>
      </c>
      <c r="C32" s="7">
        <v>1.5395679378534122</v>
      </c>
      <c r="D32" s="7">
        <v>0.20502293972891786</v>
      </c>
    </row>
    <row r="33" spans="1:4" s="13" customFormat="1" x14ac:dyDescent="0.3">
      <c r="A33" s="13">
        <v>55</v>
      </c>
      <c r="B33" s="14" t="s">
        <v>71</v>
      </c>
      <c r="C33" s="13">
        <v>0.73977218737165207</v>
      </c>
      <c r="D33" s="13">
        <v>0.3886434959074847</v>
      </c>
    </row>
    <row r="34" spans="1:4" s="13" customFormat="1" x14ac:dyDescent="0.3">
      <c r="A34" s="13">
        <v>56</v>
      </c>
      <c r="B34" s="14" t="s">
        <v>72</v>
      </c>
      <c r="C34" s="13">
        <v>0.72185837495162797</v>
      </c>
      <c r="D34" s="13">
        <v>0.28159351216513401</v>
      </c>
    </row>
    <row r="35" spans="1:4" x14ac:dyDescent="0.3">
      <c r="A35" s="7">
        <v>58</v>
      </c>
      <c r="B35" s="9" t="s">
        <v>74</v>
      </c>
      <c r="C35" s="7">
        <v>0.69746010818422555</v>
      </c>
      <c r="D35" s="7">
        <v>0.26566556513342354</v>
      </c>
    </row>
    <row r="36" spans="1:4" x14ac:dyDescent="0.3">
      <c r="A36" s="7">
        <v>59</v>
      </c>
      <c r="B36" s="9" t="s">
        <v>75</v>
      </c>
      <c r="C36" s="7">
        <v>0.69791394435394938</v>
      </c>
      <c r="D36" s="7">
        <v>0.26899751102726438</v>
      </c>
    </row>
    <row r="37" spans="1:4" x14ac:dyDescent="0.3">
      <c r="A37" s="7">
        <v>60</v>
      </c>
      <c r="B37" s="9" t="s">
        <v>76</v>
      </c>
      <c r="C37" s="7">
        <v>1.4975156836835755</v>
      </c>
      <c r="D37" s="7">
        <v>1.3593254147004264E-2</v>
      </c>
    </row>
    <row r="38" spans="1:4" x14ac:dyDescent="0.3">
      <c r="A38" s="7">
        <v>61</v>
      </c>
      <c r="B38" s="9" t="s">
        <v>77</v>
      </c>
      <c r="C38" s="7">
        <v>2.3350311316953634</v>
      </c>
      <c r="D38" s="7">
        <v>2.7150557685323012E-2</v>
      </c>
    </row>
    <row r="39" spans="1:4" x14ac:dyDescent="0.3">
      <c r="A39" s="7">
        <v>62</v>
      </c>
      <c r="B39" s="9" t="s">
        <v>78</v>
      </c>
      <c r="C39" s="7">
        <v>3.1134713220317001</v>
      </c>
      <c r="D39" s="7">
        <v>6.1767286259871095E-2</v>
      </c>
    </row>
    <row r="40" spans="1:4" x14ac:dyDescent="0.3">
      <c r="A40" s="7">
        <v>63</v>
      </c>
      <c r="B40" s="9" t="s">
        <v>79</v>
      </c>
      <c r="C40" s="7">
        <v>3.9711756234738242</v>
      </c>
      <c r="D40" s="7">
        <v>6.4987617673801165E-2</v>
      </c>
    </row>
    <row r="41" spans="1:4" x14ac:dyDescent="0.3">
      <c r="A41" s="7">
        <v>64</v>
      </c>
      <c r="B41" s="9" t="s">
        <v>80</v>
      </c>
      <c r="C41" s="7">
        <v>3.9844715268889948</v>
      </c>
      <c r="D41" s="7">
        <v>6.6547260927978816E-2</v>
      </c>
    </row>
    <row r="42" spans="1:4" x14ac:dyDescent="0.3">
      <c r="A42" s="7">
        <v>65</v>
      </c>
      <c r="B42" s="9" t="s">
        <v>81</v>
      </c>
      <c r="C42" s="7">
        <v>4.5812551529739789</v>
      </c>
      <c r="D42" s="7">
        <v>8.8288622424889857E-2</v>
      </c>
    </row>
    <row r="43" spans="1:4" x14ac:dyDescent="0.3">
      <c r="A43" s="7">
        <v>66</v>
      </c>
      <c r="B43" s="9" t="s">
        <v>82</v>
      </c>
      <c r="C43" s="7">
        <v>3.8974999318130297</v>
      </c>
      <c r="D43" s="7">
        <v>3.262995857229916E-2</v>
      </c>
    </row>
    <row r="44" spans="1:4" x14ac:dyDescent="0.3">
      <c r="A44" s="7">
        <v>67</v>
      </c>
      <c r="B44" s="9" t="s">
        <v>83</v>
      </c>
      <c r="C44" s="7">
        <v>3.0706165492001345</v>
      </c>
      <c r="D44" s="7">
        <v>0.10454665464890053</v>
      </c>
    </row>
    <row r="45" spans="1:4" x14ac:dyDescent="0.3">
      <c r="A45" s="7">
        <v>68</v>
      </c>
      <c r="B45" s="9" t="s">
        <v>84</v>
      </c>
      <c r="C45" s="7">
        <v>1.532516412217656</v>
      </c>
      <c r="D45" s="7">
        <v>0.11933275788168578</v>
      </c>
    </row>
    <row r="46" spans="1:4" x14ac:dyDescent="0.3">
      <c r="A46" s="7">
        <v>69</v>
      </c>
      <c r="B46" s="9" t="s">
        <v>85</v>
      </c>
      <c r="C46" s="7">
        <v>2.8981392890354445</v>
      </c>
      <c r="D46" s="7">
        <v>0.14093561962052623</v>
      </c>
    </row>
    <row r="47" spans="1:4" x14ac:dyDescent="0.3">
      <c r="A47" s="7">
        <v>70</v>
      </c>
      <c r="B47" s="9" t="s">
        <v>86</v>
      </c>
      <c r="C47" s="7">
        <v>3.0043037434714939</v>
      </c>
      <c r="D47" s="7">
        <v>9.9834530399010663E-2</v>
      </c>
    </row>
    <row r="48" spans="1:4" x14ac:dyDescent="0.3">
      <c r="A48" s="7">
        <v>71</v>
      </c>
      <c r="B48" s="9" t="s">
        <v>87</v>
      </c>
      <c r="C48" s="7">
        <v>3.038465015717478</v>
      </c>
      <c r="D48" s="7">
        <v>0.10970318550002658</v>
      </c>
    </row>
    <row r="49" spans="1:4" x14ac:dyDescent="0.3">
      <c r="A49" s="7">
        <v>72</v>
      </c>
      <c r="B49" s="9" t="s">
        <v>88</v>
      </c>
      <c r="C49" s="7">
        <v>3.2478267911568959</v>
      </c>
      <c r="D49" s="7">
        <v>0.14803113084841327</v>
      </c>
    </row>
    <row r="50" spans="1:4" x14ac:dyDescent="0.3">
      <c r="A50" s="7">
        <v>73</v>
      </c>
      <c r="B50" s="9" t="s">
        <v>89</v>
      </c>
      <c r="C50" s="7">
        <v>3.5256968871755694</v>
      </c>
      <c r="D50" s="7">
        <v>0.11682787396531416</v>
      </c>
    </row>
    <row r="51" spans="1:4" x14ac:dyDescent="0.3">
      <c r="A51" s="7">
        <v>75</v>
      </c>
      <c r="B51" s="9" t="s">
        <v>91</v>
      </c>
      <c r="C51" s="7">
        <v>1.4503854930347952</v>
      </c>
      <c r="D51" s="7">
        <v>0.34886318068839461</v>
      </c>
    </row>
    <row r="52" spans="1:4" x14ac:dyDescent="0.3">
      <c r="A52" s="7">
        <v>76</v>
      </c>
      <c r="B52" s="9" t="s">
        <v>92</v>
      </c>
      <c r="C52" s="7">
        <v>0.688193653823018</v>
      </c>
      <c r="D52" s="7">
        <v>0.41844049900674296</v>
      </c>
    </row>
    <row r="53" spans="1:4" x14ac:dyDescent="0.3">
      <c r="A53" s="7">
        <v>78</v>
      </c>
      <c r="B53" s="9" t="s">
        <v>94</v>
      </c>
      <c r="C53" s="7">
        <v>1.8108640681216654</v>
      </c>
      <c r="D53" s="7">
        <v>5.3927855701697558E-2</v>
      </c>
    </row>
    <row r="54" spans="1:4" x14ac:dyDescent="0.3">
      <c r="A54" s="7">
        <v>80</v>
      </c>
      <c r="B54" s="9" t="s">
        <v>96</v>
      </c>
      <c r="C54" s="7">
        <v>1.8637831176681952</v>
      </c>
      <c r="D54" s="7">
        <v>2.0004207678473888E-2</v>
      </c>
    </row>
    <row r="55" spans="1:4" x14ac:dyDescent="0.3">
      <c r="A55" s="7">
        <v>81</v>
      </c>
      <c r="B55" s="9" t="s">
        <v>97</v>
      </c>
      <c r="C55" s="7">
        <v>1.8813569135549704</v>
      </c>
      <c r="D55" s="7">
        <v>8.6110627116510297E-2</v>
      </c>
    </row>
    <row r="56" spans="1:4" x14ac:dyDescent="0.3">
      <c r="A56" s="7">
        <v>82</v>
      </c>
      <c r="B56" s="9" t="s">
        <v>98</v>
      </c>
      <c r="C56" s="7">
        <v>1.8030018529009613</v>
      </c>
      <c r="D56" s="7">
        <v>0.11252620610078472</v>
      </c>
    </row>
    <row r="57" spans="1:4" x14ac:dyDescent="0.3">
      <c r="A57" s="7">
        <v>83</v>
      </c>
      <c r="B57" s="9" t="s">
        <v>99</v>
      </c>
      <c r="C57" s="7">
        <v>0.70584118246007865</v>
      </c>
      <c r="D57" s="7">
        <v>0.30925859259772104</v>
      </c>
    </row>
    <row r="58" spans="1:4" x14ac:dyDescent="0.3">
      <c r="A58" s="7">
        <v>91</v>
      </c>
      <c r="B58" s="9" t="s">
        <v>107</v>
      </c>
      <c r="C58" s="7">
        <v>0.61690839770391004</v>
      </c>
      <c r="D58" s="7">
        <v>0.19585256659701247</v>
      </c>
    </row>
    <row r="59" spans="1:4" x14ac:dyDescent="0.3">
      <c r="A59" s="7">
        <v>92</v>
      </c>
      <c r="B59" s="9" t="s">
        <v>108</v>
      </c>
      <c r="C59" s="7">
        <v>0.77884424576814959</v>
      </c>
      <c r="D59" s="7">
        <v>0.50513741039498727</v>
      </c>
    </row>
    <row r="60" spans="1:4" x14ac:dyDescent="0.3">
      <c r="A60" s="7">
        <v>95</v>
      </c>
      <c r="B60" s="9" t="s">
        <v>111</v>
      </c>
      <c r="C60" s="7">
        <v>1.7392015960825296</v>
      </c>
      <c r="D60" s="7">
        <v>0.19007236351439699</v>
      </c>
    </row>
    <row r="61" spans="1:4" x14ac:dyDescent="0.3">
      <c r="A61" s="7">
        <v>96</v>
      </c>
      <c r="B61" s="9" t="s">
        <v>112</v>
      </c>
      <c r="C61" s="7">
        <v>1.3444949586848565</v>
      </c>
      <c r="D61" s="7">
        <v>0.43964231821842348</v>
      </c>
    </row>
    <row r="62" spans="1:4" x14ac:dyDescent="0.3">
      <c r="A62" s="7">
        <v>98</v>
      </c>
      <c r="B62" s="9" t="s">
        <v>114</v>
      </c>
      <c r="C62" s="7">
        <v>2.4536620104434537</v>
      </c>
      <c r="D62" s="7">
        <v>0.18790232516057515</v>
      </c>
    </row>
    <row r="63" spans="1:4" x14ac:dyDescent="0.3">
      <c r="A63" s="7">
        <v>99</v>
      </c>
      <c r="B63" s="9" t="s">
        <v>115</v>
      </c>
      <c r="C63" s="7">
        <v>2.2829294492834928</v>
      </c>
      <c r="D63" s="7">
        <v>0.17744945236797058</v>
      </c>
    </row>
    <row r="64" spans="1:4" x14ac:dyDescent="0.3">
      <c r="A64" s="7">
        <v>100</v>
      </c>
      <c r="B64" s="9" t="s">
        <v>116</v>
      </c>
      <c r="C64" s="7">
        <v>2.3893110448447663</v>
      </c>
      <c r="D64" s="7">
        <v>0.20476977343762645</v>
      </c>
    </row>
    <row r="65" spans="1:4" x14ac:dyDescent="0.3">
      <c r="A65" s="7">
        <v>102</v>
      </c>
      <c r="B65" s="9" t="s">
        <v>118</v>
      </c>
      <c r="C65" s="7">
        <v>0.7275008169677516</v>
      </c>
      <c r="D65" s="7">
        <v>0.32258067423687919</v>
      </c>
    </row>
    <row r="66" spans="1:4" x14ac:dyDescent="0.3">
      <c r="A66" s="7">
        <v>103</v>
      </c>
      <c r="B66" s="9" t="s">
        <v>119</v>
      </c>
      <c r="C66" s="7">
        <v>0.76114695059681714</v>
      </c>
      <c r="D66" s="7">
        <v>0.45125198659336552</v>
      </c>
    </row>
    <row r="67" spans="1:4" x14ac:dyDescent="0.3">
      <c r="A67" s="7">
        <v>104</v>
      </c>
      <c r="B67" s="9" t="s">
        <v>120</v>
      </c>
      <c r="C67" s="7">
        <v>0.72857509222722072</v>
      </c>
      <c r="D67" s="7">
        <v>0.33693512348127835</v>
      </c>
    </row>
    <row r="68" spans="1:4" x14ac:dyDescent="0.3">
      <c r="A68" s="7">
        <v>105</v>
      </c>
      <c r="B68" s="9" t="s">
        <v>121</v>
      </c>
      <c r="C68" s="7">
        <v>0.61039335726618882</v>
      </c>
      <c r="D68" s="7">
        <v>0.25670026219907288</v>
      </c>
    </row>
    <row r="69" spans="1:4" x14ac:dyDescent="0.3">
      <c r="A69" s="7">
        <v>108</v>
      </c>
      <c r="B69" s="9" t="s">
        <v>124</v>
      </c>
      <c r="C69" s="7">
        <v>1.3524577084492455</v>
      </c>
      <c r="D69" s="7">
        <v>0.10115808063458216</v>
      </c>
    </row>
  </sheetData>
  <sortState xmlns:xlrd2="http://schemas.microsoft.com/office/spreadsheetml/2017/richdata2" ref="A2:D113">
    <sortCondition ref="A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>
      <selection activeCell="H20" sqref="H20"/>
    </sheetView>
  </sheetViews>
  <sheetFormatPr defaultColWidth="9.08984375" defaultRowHeight="14" x14ac:dyDescent="0.3"/>
  <cols>
    <col min="1" max="1" width="9.08984375" style="7"/>
    <col min="2" max="2" width="41.453125" style="7" customWidth="1"/>
    <col min="3" max="3" width="12" style="7" bestFit="1" customWidth="1"/>
    <col min="4" max="4" width="14" style="7" bestFit="1" customWidth="1"/>
    <col min="5" max="16384" width="9.08984375" style="7"/>
  </cols>
  <sheetData>
    <row r="1" spans="1:4" x14ac:dyDescent="0.3">
      <c r="A1" s="7" t="s">
        <v>13</v>
      </c>
      <c r="B1" s="9" t="s">
        <v>126</v>
      </c>
      <c r="C1" s="7" t="s">
        <v>15</v>
      </c>
      <c r="D1" s="7" t="s">
        <v>16</v>
      </c>
    </row>
    <row r="2" spans="1:4" x14ac:dyDescent="0.3">
      <c r="A2" s="7">
        <v>10</v>
      </c>
      <c r="B2" s="9" t="s">
        <v>26</v>
      </c>
      <c r="C2" s="7">
        <v>1.2132111952009321</v>
      </c>
      <c r="D2" s="7">
        <v>9.5137833746352582E-3</v>
      </c>
    </row>
    <row r="3" spans="1:4" x14ac:dyDescent="0.3">
      <c r="A3" s="7">
        <v>12</v>
      </c>
      <c r="B3" s="9" t="s">
        <v>28</v>
      </c>
      <c r="C3" s="7">
        <v>0.54616102574353076</v>
      </c>
      <c r="D3" s="7">
        <v>4.5389501717615563E-2</v>
      </c>
    </row>
    <row r="4" spans="1:4" x14ac:dyDescent="0.3">
      <c r="A4" s="7">
        <v>18</v>
      </c>
      <c r="B4" s="9" t="s">
        <v>34</v>
      </c>
      <c r="C4" s="7">
        <v>0.58617255055121897</v>
      </c>
      <c r="D4" s="7">
        <v>3.5967547824155045E-2</v>
      </c>
    </row>
    <row r="5" spans="1:4" x14ac:dyDescent="0.3">
      <c r="A5" s="7">
        <v>28</v>
      </c>
      <c r="B5" s="9" t="s">
        <v>44</v>
      </c>
      <c r="C5" s="7">
        <v>1.8594105514203847</v>
      </c>
      <c r="D5" s="7">
        <v>3.2349219365386025E-2</v>
      </c>
    </row>
    <row r="6" spans="1:4" x14ac:dyDescent="0.3">
      <c r="A6" s="7">
        <v>31</v>
      </c>
      <c r="B6" s="9" t="s">
        <v>47</v>
      </c>
      <c r="C6" s="7">
        <v>1.3368226652436177</v>
      </c>
      <c r="D6" s="7">
        <v>2.9693669818653557E-2</v>
      </c>
    </row>
    <row r="7" spans="1:4" x14ac:dyDescent="0.3">
      <c r="A7" s="7">
        <v>40</v>
      </c>
      <c r="B7" s="9" t="s">
        <v>56</v>
      </c>
      <c r="C7" s="7">
        <v>0.40673154658559341</v>
      </c>
      <c r="D7" s="7">
        <v>5.6226230817034914E-3</v>
      </c>
    </row>
    <row r="8" spans="1:4" x14ac:dyDescent="0.3">
      <c r="A8" s="7">
        <v>41</v>
      </c>
      <c r="B8" s="9" t="s">
        <v>57</v>
      </c>
      <c r="C8" s="7">
        <v>1.5681558027188816</v>
      </c>
      <c r="D8" s="7">
        <v>2.1266280079097259E-2</v>
      </c>
    </row>
    <row r="9" spans="1:4" x14ac:dyDescent="0.3">
      <c r="A9" s="7">
        <v>43</v>
      </c>
      <c r="B9" s="9" t="s">
        <v>59</v>
      </c>
      <c r="C9" s="7">
        <v>1.6014715828837185</v>
      </c>
      <c r="D9" s="7">
        <v>3.503300385651089E-2</v>
      </c>
    </row>
    <row r="10" spans="1:4" x14ac:dyDescent="0.3">
      <c r="A10" s="7">
        <v>60</v>
      </c>
      <c r="B10" s="9" t="s">
        <v>76</v>
      </c>
      <c r="C10" s="7">
        <v>1.4975156836835755</v>
      </c>
      <c r="D10" s="7">
        <v>1.3593254147004264E-2</v>
      </c>
    </row>
    <row r="11" spans="1:4" x14ac:dyDescent="0.3">
      <c r="A11" s="7">
        <v>61</v>
      </c>
      <c r="B11" s="9" t="s">
        <v>77</v>
      </c>
      <c r="C11" s="7">
        <v>2.3350311316953634</v>
      </c>
      <c r="D11" s="7">
        <v>2.7150557685323012E-2</v>
      </c>
    </row>
    <row r="12" spans="1:4" x14ac:dyDescent="0.3">
      <c r="A12" s="7">
        <v>66</v>
      </c>
      <c r="B12" s="9" t="s">
        <v>82</v>
      </c>
      <c r="C12" s="7">
        <v>3.8974999318130297</v>
      </c>
      <c r="D12" s="7">
        <v>3.262995857229916E-2</v>
      </c>
    </row>
    <row r="13" spans="1:4" x14ac:dyDescent="0.3">
      <c r="A13" s="7">
        <v>80</v>
      </c>
      <c r="B13" s="9" t="s">
        <v>96</v>
      </c>
      <c r="C13" s="7">
        <v>1.8637831176681952</v>
      </c>
      <c r="D13" s="7">
        <v>2.0004207678473888E-2</v>
      </c>
    </row>
  </sheetData>
  <sortState xmlns:xlrd2="http://schemas.microsoft.com/office/spreadsheetml/2017/richdata2" ref="A2:D69">
    <sortCondition ref="A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4"/>
  <sheetViews>
    <sheetView topLeftCell="A88" workbookViewId="0">
      <selection activeCell="G103" sqref="G103"/>
    </sheetView>
  </sheetViews>
  <sheetFormatPr defaultColWidth="9.08984375" defaultRowHeight="14" x14ac:dyDescent="0.3"/>
  <cols>
    <col min="1" max="1" width="6.453125" style="15" bestFit="1" customWidth="1"/>
    <col min="2" max="2" width="39.54296875" style="15" bestFit="1" customWidth="1"/>
    <col min="3" max="3" width="12.36328125" style="15" bestFit="1" customWidth="1"/>
    <col min="4" max="4" width="14.90625" style="15" bestFit="1" customWidth="1"/>
    <col min="5" max="16384" width="9.08984375" style="15"/>
  </cols>
  <sheetData>
    <row r="1" spans="1:4" x14ac:dyDescent="0.3">
      <c r="A1" s="15" t="s">
        <v>141</v>
      </c>
      <c r="B1" s="15" t="s">
        <v>142</v>
      </c>
    </row>
    <row r="2" spans="1:4" x14ac:dyDescent="0.3">
      <c r="A2" s="15" t="s">
        <v>143</v>
      </c>
      <c r="B2" s="15" t="s">
        <v>144</v>
      </c>
    </row>
    <row r="4" spans="1:4" x14ac:dyDescent="0.3">
      <c r="A4" s="10" t="s">
        <v>13</v>
      </c>
      <c r="B4" s="11" t="s">
        <v>126</v>
      </c>
      <c r="C4" s="12" t="s">
        <v>15</v>
      </c>
      <c r="D4" s="10" t="s">
        <v>16</v>
      </c>
    </row>
    <row r="5" spans="1:4" x14ac:dyDescent="0.3">
      <c r="A5" s="13">
        <v>3</v>
      </c>
      <c r="B5" s="14" t="s">
        <v>19</v>
      </c>
      <c r="C5" s="13">
        <v>0.23071780809037098</v>
      </c>
      <c r="D5" s="13">
        <v>1.7711022153588205E-2</v>
      </c>
    </row>
    <row r="6" spans="1:4" x14ac:dyDescent="0.3">
      <c r="A6" s="7">
        <v>3</v>
      </c>
      <c r="B6" s="9" t="s">
        <v>19</v>
      </c>
      <c r="C6" s="7">
        <v>1.78057004530129</v>
      </c>
      <c r="D6" s="7">
        <v>0.54021370397593049</v>
      </c>
    </row>
    <row r="7" spans="1:4" s="20" customFormat="1" x14ac:dyDescent="0.3">
      <c r="A7" s="18">
        <v>4</v>
      </c>
      <c r="B7" s="19" t="s">
        <v>20</v>
      </c>
      <c r="C7" s="18">
        <v>0.24030313107043128</v>
      </c>
      <c r="D7" s="18">
        <v>1.3390873073545261E-2</v>
      </c>
    </row>
    <row r="8" spans="1:4" s="20" customFormat="1" x14ac:dyDescent="0.3">
      <c r="A8" s="18">
        <v>4</v>
      </c>
      <c r="B8" s="19" t="s">
        <v>20</v>
      </c>
      <c r="C8" s="18">
        <v>1.7579798063664214</v>
      </c>
      <c r="D8" s="18">
        <v>0.56463496910237776</v>
      </c>
    </row>
    <row r="9" spans="1:4" x14ac:dyDescent="0.3">
      <c r="A9" s="13">
        <v>5</v>
      </c>
      <c r="B9" s="14" t="s">
        <v>21</v>
      </c>
      <c r="C9" s="13">
        <v>0.19288161822255948</v>
      </c>
      <c r="D9" s="13">
        <v>2.9984320771825362E-2</v>
      </c>
    </row>
    <row r="10" spans="1:4" x14ac:dyDescent="0.3">
      <c r="A10" s="7">
        <v>5</v>
      </c>
      <c r="B10" s="9" t="s">
        <v>21</v>
      </c>
      <c r="C10" s="7">
        <v>2.3626723149987852</v>
      </c>
      <c r="D10" s="7">
        <v>0.14442406253097803</v>
      </c>
    </row>
    <row r="11" spans="1:4" x14ac:dyDescent="0.3">
      <c r="A11" s="13">
        <v>6</v>
      </c>
      <c r="B11" s="14" t="s">
        <v>22</v>
      </c>
      <c r="C11" s="13">
        <v>0.79232680504915165</v>
      </c>
      <c r="D11" s="13">
        <v>0.45219158320298125</v>
      </c>
    </row>
    <row r="12" spans="1:4" x14ac:dyDescent="0.3">
      <c r="A12" s="7">
        <v>6</v>
      </c>
      <c r="B12" s="9" t="s">
        <v>22</v>
      </c>
      <c r="C12" s="7">
        <v>1.3248203485006318</v>
      </c>
      <c r="D12" s="7">
        <v>0.53960787689654288</v>
      </c>
    </row>
    <row r="13" spans="1:4" x14ac:dyDescent="0.3">
      <c r="A13" s="13">
        <v>12</v>
      </c>
      <c r="B13" s="14" t="s">
        <v>28</v>
      </c>
      <c r="C13" s="13">
        <v>0.1399064617638795</v>
      </c>
      <c r="D13" s="13">
        <v>4.1172864523700815E-2</v>
      </c>
    </row>
    <row r="14" spans="1:4" x14ac:dyDescent="0.3">
      <c r="A14" s="7">
        <v>12</v>
      </c>
      <c r="B14" s="9" t="s">
        <v>28</v>
      </c>
      <c r="C14" s="7">
        <v>0.54616102574353076</v>
      </c>
      <c r="D14" s="7">
        <v>4.5389501717615563E-2</v>
      </c>
    </row>
    <row r="15" spans="1:4" x14ac:dyDescent="0.3">
      <c r="A15" s="13">
        <v>14</v>
      </c>
      <c r="B15" s="14" t="s">
        <v>30</v>
      </c>
      <c r="C15" s="13">
        <v>1.4392168751658758</v>
      </c>
      <c r="D15" s="13">
        <v>0.38280373044903493</v>
      </c>
    </row>
    <row r="16" spans="1:4" x14ac:dyDescent="0.3">
      <c r="A16" s="7">
        <v>14</v>
      </c>
      <c r="B16" s="9" t="s">
        <v>30</v>
      </c>
      <c r="C16" s="7">
        <v>1.8398426482653685</v>
      </c>
      <c r="D16" s="7">
        <v>0.24029602611655274</v>
      </c>
    </row>
    <row r="17" spans="1:4" x14ac:dyDescent="0.3">
      <c r="A17" s="13">
        <v>15</v>
      </c>
      <c r="B17" s="14" t="s">
        <v>31</v>
      </c>
      <c r="C17" s="13">
        <v>1.5386986797465463</v>
      </c>
      <c r="D17" s="13">
        <v>0.35049351351232449</v>
      </c>
    </row>
    <row r="18" spans="1:4" x14ac:dyDescent="0.3">
      <c r="A18" s="7">
        <v>15</v>
      </c>
      <c r="B18" s="9" t="s">
        <v>31</v>
      </c>
      <c r="C18" s="7">
        <v>0.37983999372955557</v>
      </c>
      <c r="D18" s="7">
        <v>0.20540272752332395</v>
      </c>
    </row>
    <row r="19" spans="1:4" x14ac:dyDescent="0.3">
      <c r="A19" s="13">
        <v>18</v>
      </c>
      <c r="B19" s="14" t="s">
        <v>34</v>
      </c>
      <c r="C19" s="13">
        <v>1.5365619493740794</v>
      </c>
      <c r="D19" s="13">
        <v>1.5557532900857363E-2</v>
      </c>
    </row>
    <row r="20" spans="1:4" x14ac:dyDescent="0.3">
      <c r="A20" s="7">
        <v>18</v>
      </c>
      <c r="B20" s="9" t="s">
        <v>34</v>
      </c>
      <c r="C20" s="7">
        <v>0.58617255055121897</v>
      </c>
      <c r="D20" s="7">
        <v>3.5967547824155045E-2</v>
      </c>
    </row>
    <row r="21" spans="1:4" x14ac:dyDescent="0.3">
      <c r="A21" s="13">
        <v>19</v>
      </c>
      <c r="B21" s="14" t="s">
        <v>35</v>
      </c>
      <c r="C21" s="13">
        <v>1.590399511849979</v>
      </c>
      <c r="D21" s="13">
        <v>0.33325116909966263</v>
      </c>
    </row>
    <row r="22" spans="1:4" x14ac:dyDescent="0.3">
      <c r="A22" s="7">
        <v>19</v>
      </c>
      <c r="B22" s="9" t="s">
        <v>35</v>
      </c>
      <c r="C22" s="7">
        <v>2.5365413374767956</v>
      </c>
      <c r="D22" s="7">
        <v>5.5718729210550107E-2</v>
      </c>
    </row>
    <row r="23" spans="1:4" x14ac:dyDescent="0.3">
      <c r="A23" s="13">
        <v>21</v>
      </c>
      <c r="B23" s="14" t="s">
        <v>37</v>
      </c>
      <c r="C23" s="13">
        <v>1.2862542653055602</v>
      </c>
      <c r="D23" s="13">
        <v>0.38961240323849977</v>
      </c>
    </row>
    <row r="24" spans="1:4" x14ac:dyDescent="0.3">
      <c r="A24" s="7">
        <v>21</v>
      </c>
      <c r="B24" s="9" t="s">
        <v>37</v>
      </c>
      <c r="C24" s="7">
        <v>0.49975682174147223</v>
      </c>
      <c r="D24" s="7">
        <v>8.9249099047045338E-2</v>
      </c>
    </row>
    <row r="25" spans="1:4" x14ac:dyDescent="0.3">
      <c r="A25" s="13">
        <v>22</v>
      </c>
      <c r="B25" s="14" t="s">
        <v>38</v>
      </c>
      <c r="C25" s="13">
        <v>1.4207718179323277</v>
      </c>
      <c r="D25" s="13">
        <v>0.20136170481357235</v>
      </c>
    </row>
    <row r="26" spans="1:4" x14ac:dyDescent="0.3">
      <c r="A26" s="7">
        <v>22</v>
      </c>
      <c r="B26" s="9" t="s">
        <v>38</v>
      </c>
      <c r="C26" s="7">
        <v>1.3306901031983567</v>
      </c>
      <c r="D26" s="7">
        <v>0.19504311910908792</v>
      </c>
    </row>
    <row r="27" spans="1:4" x14ac:dyDescent="0.3">
      <c r="A27" s="13">
        <v>25</v>
      </c>
      <c r="B27" s="14" t="s">
        <v>41</v>
      </c>
      <c r="C27" s="13">
        <v>0.67918237330283326</v>
      </c>
      <c r="D27" s="13">
        <v>0.67002294368190241</v>
      </c>
    </row>
    <row r="28" spans="1:4" x14ac:dyDescent="0.3">
      <c r="A28" s="7">
        <v>25</v>
      </c>
      <c r="B28" s="9" t="s">
        <v>41</v>
      </c>
      <c r="C28" s="7">
        <v>1.3141384039341224</v>
      </c>
      <c r="D28" s="7">
        <v>0.6268831832834898</v>
      </c>
    </row>
    <row r="29" spans="1:4" x14ac:dyDescent="0.3">
      <c r="A29" s="13">
        <v>26</v>
      </c>
      <c r="B29" s="14" t="s">
        <v>42</v>
      </c>
      <c r="C29" s="13">
        <v>1.6252105462902533</v>
      </c>
      <c r="D29" s="13">
        <v>0.39375614126938763</v>
      </c>
    </row>
    <row r="30" spans="1:4" x14ac:dyDescent="0.3">
      <c r="A30" s="7">
        <v>26</v>
      </c>
      <c r="B30" s="9" t="s">
        <v>42</v>
      </c>
      <c r="C30" s="7">
        <v>0.66680314361547832</v>
      </c>
      <c r="D30" s="7">
        <v>0.13505571913434383</v>
      </c>
    </row>
    <row r="31" spans="1:4" x14ac:dyDescent="0.3">
      <c r="A31" s="13">
        <v>31</v>
      </c>
      <c r="B31" s="14" t="s">
        <v>47</v>
      </c>
      <c r="C31" s="13">
        <v>0.35115856508042315</v>
      </c>
      <c r="D31" s="13">
        <v>0.19180671363332971</v>
      </c>
    </row>
    <row r="32" spans="1:4" x14ac:dyDescent="0.3">
      <c r="A32" s="7">
        <v>31</v>
      </c>
      <c r="B32" s="9" t="s">
        <v>47</v>
      </c>
      <c r="C32" s="7">
        <v>1.3368226652436177</v>
      </c>
      <c r="D32" s="7">
        <v>2.9693669818653557E-2</v>
      </c>
    </row>
    <row r="33" spans="1:4" x14ac:dyDescent="0.3">
      <c r="A33" s="13">
        <v>32</v>
      </c>
      <c r="B33" s="14" t="s">
        <v>48</v>
      </c>
      <c r="C33" s="13">
        <v>2.4957683960391503</v>
      </c>
      <c r="D33" s="13">
        <v>3.8197547309826592E-3</v>
      </c>
    </row>
    <row r="34" spans="1:4" x14ac:dyDescent="0.3">
      <c r="A34" s="7">
        <v>32</v>
      </c>
      <c r="B34" s="9" t="s">
        <v>48</v>
      </c>
      <c r="C34" s="7">
        <v>1.4834670818550169</v>
      </c>
      <c r="D34" s="7">
        <v>0.20415605750600491</v>
      </c>
    </row>
    <row r="35" spans="1:4" x14ac:dyDescent="0.3">
      <c r="A35" s="13">
        <v>33</v>
      </c>
      <c r="B35" s="14" t="s">
        <v>49</v>
      </c>
      <c r="C35" s="13">
        <v>0.41982669897223629</v>
      </c>
      <c r="D35" s="13">
        <v>0.10662073282833334</v>
      </c>
    </row>
    <row r="36" spans="1:4" x14ac:dyDescent="0.3">
      <c r="A36" s="7">
        <v>33</v>
      </c>
      <c r="B36" s="9" t="s">
        <v>49</v>
      </c>
      <c r="C36" s="7">
        <v>0.68652206587156106</v>
      </c>
      <c r="D36" s="7">
        <v>0.294587927078929</v>
      </c>
    </row>
    <row r="37" spans="1:4" x14ac:dyDescent="0.3">
      <c r="A37" s="13">
        <v>34</v>
      </c>
      <c r="B37" s="14" t="s">
        <v>50</v>
      </c>
      <c r="C37" s="13">
        <v>0.66778780922389747</v>
      </c>
      <c r="D37" s="13">
        <v>0.31021019599780453</v>
      </c>
    </row>
    <row r="38" spans="1:4" x14ac:dyDescent="0.3">
      <c r="A38" s="7">
        <v>34</v>
      </c>
      <c r="B38" s="9" t="s">
        <v>50</v>
      </c>
      <c r="C38" s="7">
        <v>1.3830904122628678</v>
      </c>
      <c r="D38" s="7">
        <v>0.2199664404653916</v>
      </c>
    </row>
    <row r="39" spans="1:4" x14ac:dyDescent="0.3">
      <c r="A39" s="13">
        <v>35</v>
      </c>
      <c r="B39" s="14" t="s">
        <v>51</v>
      </c>
      <c r="C39" s="13">
        <v>0.67855520415355508</v>
      </c>
      <c r="D39" s="13">
        <v>1.6484782507143702E-2</v>
      </c>
    </row>
    <row r="40" spans="1:4" x14ac:dyDescent="0.3">
      <c r="A40" s="7">
        <v>35</v>
      </c>
      <c r="B40" s="9" t="s">
        <v>51</v>
      </c>
      <c r="C40" s="7">
        <v>1.270062079996253</v>
      </c>
      <c r="D40" s="7">
        <v>0.14050028295765848</v>
      </c>
    </row>
    <row r="41" spans="1:4" x14ac:dyDescent="0.3">
      <c r="A41" s="13">
        <v>38</v>
      </c>
      <c r="B41" s="14" t="s">
        <v>54</v>
      </c>
      <c r="C41" s="13">
        <v>1.6005091015347761</v>
      </c>
      <c r="D41" s="13">
        <v>3.1468863454539954E-2</v>
      </c>
    </row>
    <row r="42" spans="1:4" x14ac:dyDescent="0.3">
      <c r="A42" s="7">
        <v>38</v>
      </c>
      <c r="B42" s="9" t="s">
        <v>54</v>
      </c>
      <c r="C42" s="7">
        <v>1.6050024019901585</v>
      </c>
      <c r="D42" s="7">
        <v>0.15752975662290655</v>
      </c>
    </row>
    <row r="43" spans="1:4" x14ac:dyDescent="0.3">
      <c r="A43" s="13">
        <v>40</v>
      </c>
      <c r="B43" s="14" t="s">
        <v>56</v>
      </c>
      <c r="C43" s="13">
        <v>0.66932896948706</v>
      </c>
      <c r="D43" s="13">
        <v>0.23638030829837714</v>
      </c>
    </row>
    <row r="44" spans="1:4" x14ac:dyDescent="0.3">
      <c r="A44" s="7">
        <v>40</v>
      </c>
      <c r="B44" s="9" t="s">
        <v>56</v>
      </c>
      <c r="C44" s="7">
        <v>0.40673154658559341</v>
      </c>
      <c r="D44" s="7">
        <v>5.6226230817034914E-3</v>
      </c>
    </row>
    <row r="45" spans="1:4" x14ac:dyDescent="0.3">
      <c r="A45" s="13">
        <v>43</v>
      </c>
      <c r="B45" s="14" t="s">
        <v>59</v>
      </c>
      <c r="C45" s="13">
        <v>0.61039302450241306</v>
      </c>
      <c r="D45" s="13">
        <v>0.57803267879932885</v>
      </c>
    </row>
    <row r="46" spans="1:4" x14ac:dyDescent="0.3">
      <c r="A46" s="7">
        <v>43</v>
      </c>
      <c r="B46" s="9" t="s">
        <v>59</v>
      </c>
      <c r="C46" s="7">
        <v>1.6014715828837185</v>
      </c>
      <c r="D46" s="7">
        <v>3.503300385651089E-2</v>
      </c>
    </row>
    <row r="47" spans="1:4" x14ac:dyDescent="0.3">
      <c r="A47" s="13">
        <v>51</v>
      </c>
      <c r="B47" s="14" t="s">
        <v>67</v>
      </c>
      <c r="C47" s="13">
        <v>0.53355698168695576</v>
      </c>
      <c r="D47" s="13">
        <v>0.36337348184717905</v>
      </c>
    </row>
    <row r="48" spans="1:4" x14ac:dyDescent="0.3">
      <c r="A48" s="7">
        <v>51</v>
      </c>
      <c r="B48" s="9" t="s">
        <v>67</v>
      </c>
      <c r="C48" s="7">
        <v>0.54952549719072841</v>
      </c>
      <c r="D48" s="7">
        <v>0.21565802943225482</v>
      </c>
    </row>
    <row r="49" spans="1:4" x14ac:dyDescent="0.3">
      <c r="A49" s="13">
        <v>52</v>
      </c>
      <c r="B49" s="14" t="s">
        <v>68</v>
      </c>
      <c r="C49" s="13">
        <v>0.67169988808839198</v>
      </c>
      <c r="D49" s="13">
        <v>0.47956045834926786</v>
      </c>
    </row>
    <row r="50" spans="1:4" x14ac:dyDescent="0.3">
      <c r="A50" s="7">
        <v>52</v>
      </c>
      <c r="B50" s="9" t="s">
        <v>68</v>
      </c>
      <c r="C50" s="7">
        <v>0.78774305355318408</v>
      </c>
      <c r="D50" s="7">
        <v>0.5095861491036815</v>
      </c>
    </row>
    <row r="51" spans="1:4" x14ac:dyDescent="0.3">
      <c r="A51" s="13">
        <v>54</v>
      </c>
      <c r="B51" s="14" t="s">
        <v>70</v>
      </c>
      <c r="C51" s="13">
        <v>1.4555246977313945</v>
      </c>
      <c r="D51" s="13">
        <v>1.5520759692686563E-2</v>
      </c>
    </row>
    <row r="52" spans="1:4" x14ac:dyDescent="0.3">
      <c r="A52" s="7">
        <v>54</v>
      </c>
      <c r="B52" s="9" t="s">
        <v>70</v>
      </c>
      <c r="C52" s="7">
        <v>1.5395679378534122</v>
      </c>
      <c r="D52" s="7">
        <v>0.20502293972891786</v>
      </c>
    </row>
    <row r="53" spans="1:4" s="20" customFormat="1" x14ac:dyDescent="0.3">
      <c r="A53" s="18">
        <v>56</v>
      </c>
      <c r="B53" s="19" t="s">
        <v>72</v>
      </c>
      <c r="C53" s="18">
        <v>0.41947205878564064</v>
      </c>
      <c r="D53" s="18">
        <v>8.9068258623433538E-2</v>
      </c>
    </row>
    <row r="54" spans="1:4" s="20" customFormat="1" x14ac:dyDescent="0.3">
      <c r="A54" s="18">
        <v>56</v>
      </c>
      <c r="B54" s="19" t="s">
        <v>72</v>
      </c>
      <c r="C54" s="18">
        <v>0.72185837495162797</v>
      </c>
      <c r="D54" s="18">
        <v>0.28159351216513401</v>
      </c>
    </row>
    <row r="55" spans="1:4" x14ac:dyDescent="0.3">
      <c r="A55" s="13">
        <v>58</v>
      </c>
      <c r="B55" s="14" t="s">
        <v>74</v>
      </c>
      <c r="C55" s="13">
        <v>0.38971695139787133</v>
      </c>
      <c r="D55" s="13">
        <v>9.4696555235200167E-2</v>
      </c>
    </row>
    <row r="56" spans="1:4" x14ac:dyDescent="0.3">
      <c r="A56" s="7">
        <v>58</v>
      </c>
      <c r="B56" s="9" t="s">
        <v>74</v>
      </c>
      <c r="C56" s="7">
        <v>0.69746010818422555</v>
      </c>
      <c r="D56" s="7">
        <v>0.26566556513342354</v>
      </c>
    </row>
    <row r="57" spans="1:4" x14ac:dyDescent="0.3">
      <c r="A57" s="13">
        <v>59</v>
      </c>
      <c r="B57" s="14" t="s">
        <v>75</v>
      </c>
      <c r="C57" s="13">
        <v>0.38844054133366829</v>
      </c>
      <c r="D57" s="13">
        <v>9.4945965442652019E-2</v>
      </c>
    </row>
    <row r="58" spans="1:4" x14ac:dyDescent="0.3">
      <c r="A58" s="7">
        <v>59</v>
      </c>
      <c r="B58" s="9" t="s">
        <v>75</v>
      </c>
      <c r="C58" s="7">
        <v>0.69791394435394938</v>
      </c>
      <c r="D58" s="7">
        <v>0.26899751102726438</v>
      </c>
    </row>
    <row r="59" spans="1:4" x14ac:dyDescent="0.3">
      <c r="A59" s="13">
        <v>60</v>
      </c>
      <c r="B59" s="14" t="s">
        <v>76</v>
      </c>
      <c r="C59" s="13">
        <v>0.66809924341804405</v>
      </c>
      <c r="D59" s="13">
        <v>0.26384005063626553</v>
      </c>
    </row>
    <row r="60" spans="1:4" x14ac:dyDescent="0.3">
      <c r="A60" s="7">
        <v>60</v>
      </c>
      <c r="B60" s="9" t="s">
        <v>76</v>
      </c>
      <c r="C60" s="7">
        <v>1.4975156836835755</v>
      </c>
      <c r="D60" s="7">
        <v>1.3593254147004264E-2</v>
      </c>
    </row>
    <row r="61" spans="1:4" x14ac:dyDescent="0.3">
      <c r="A61" s="13">
        <v>61</v>
      </c>
      <c r="B61" s="14" t="s">
        <v>77</v>
      </c>
      <c r="C61" s="13">
        <v>0.56057608453192087</v>
      </c>
      <c r="D61" s="13">
        <v>0.50539200081541114</v>
      </c>
    </row>
    <row r="62" spans="1:4" x14ac:dyDescent="0.3">
      <c r="A62" s="7">
        <v>61</v>
      </c>
      <c r="B62" s="9" t="s">
        <v>77</v>
      </c>
      <c r="C62" s="7">
        <v>2.3350311316953634</v>
      </c>
      <c r="D62" s="7">
        <v>2.7150557685323012E-2</v>
      </c>
    </row>
    <row r="63" spans="1:4" x14ac:dyDescent="0.3">
      <c r="A63" s="13">
        <v>62</v>
      </c>
      <c r="B63" s="14" t="s">
        <v>78</v>
      </c>
      <c r="C63" s="13">
        <v>1.5485900183171462</v>
      </c>
      <c r="D63" s="13">
        <v>0.18470850633059221</v>
      </c>
    </row>
    <row r="64" spans="1:4" x14ac:dyDescent="0.3">
      <c r="A64" s="7">
        <v>62</v>
      </c>
      <c r="B64" s="9" t="s">
        <v>78</v>
      </c>
      <c r="C64" s="7">
        <v>3.1134713220317001</v>
      </c>
      <c r="D64" s="7">
        <v>6.1767286259871095E-2</v>
      </c>
    </row>
    <row r="65" spans="1:4" x14ac:dyDescent="0.3">
      <c r="A65" s="13">
        <v>63</v>
      </c>
      <c r="B65" s="14" t="s">
        <v>79</v>
      </c>
      <c r="C65" s="13">
        <v>1.4856901025012501</v>
      </c>
      <c r="D65" s="13">
        <v>3.3740108120962745E-2</v>
      </c>
    </row>
    <row r="66" spans="1:4" x14ac:dyDescent="0.3">
      <c r="A66" s="7">
        <v>63</v>
      </c>
      <c r="B66" s="9" t="s">
        <v>79</v>
      </c>
      <c r="C66" s="7">
        <v>3.9711756234738242</v>
      </c>
      <c r="D66" s="7">
        <v>6.4987617673801165E-2</v>
      </c>
    </row>
    <row r="67" spans="1:4" x14ac:dyDescent="0.3">
      <c r="A67" s="13">
        <v>64</v>
      </c>
      <c r="B67" s="14" t="s">
        <v>80</v>
      </c>
      <c r="C67" s="13">
        <v>1.4617042766461825</v>
      </c>
      <c r="D67" s="13">
        <v>3.6722230239990737E-2</v>
      </c>
    </row>
    <row r="68" spans="1:4" x14ac:dyDescent="0.3">
      <c r="A68" s="7">
        <v>64</v>
      </c>
      <c r="B68" s="9" t="s">
        <v>80</v>
      </c>
      <c r="C68" s="7">
        <v>3.9844715268889948</v>
      </c>
      <c r="D68" s="7">
        <v>6.6547260927978816E-2</v>
      </c>
    </row>
    <row r="69" spans="1:4" x14ac:dyDescent="0.3">
      <c r="A69" s="13">
        <v>65</v>
      </c>
      <c r="B69" s="14" t="s">
        <v>81</v>
      </c>
      <c r="C69" s="13">
        <v>1.4583642953143086</v>
      </c>
      <c r="D69" s="13">
        <v>4.8024862268717675E-2</v>
      </c>
    </row>
    <row r="70" spans="1:4" x14ac:dyDescent="0.3">
      <c r="A70" s="7">
        <v>65</v>
      </c>
      <c r="B70" s="9" t="s">
        <v>81</v>
      </c>
      <c r="C70" s="7">
        <v>4.5812551529739789</v>
      </c>
      <c r="D70" s="7">
        <v>8.8288622424889857E-2</v>
      </c>
    </row>
    <row r="71" spans="1:4" x14ac:dyDescent="0.3">
      <c r="A71" s="13">
        <v>66</v>
      </c>
      <c r="B71" s="14" t="s">
        <v>82</v>
      </c>
      <c r="C71" s="13">
        <v>1.4533263163195673</v>
      </c>
      <c r="D71" s="13">
        <v>4.2700883048195144E-2</v>
      </c>
    </row>
    <row r="72" spans="1:4" x14ac:dyDescent="0.3">
      <c r="A72" s="7">
        <v>66</v>
      </c>
      <c r="B72" s="9" t="s">
        <v>82</v>
      </c>
      <c r="C72" s="7">
        <v>3.8974999318130297</v>
      </c>
      <c r="D72" s="7">
        <v>3.262995857229916E-2</v>
      </c>
    </row>
    <row r="73" spans="1:4" x14ac:dyDescent="0.3">
      <c r="A73" s="13">
        <v>68</v>
      </c>
      <c r="B73" s="14" t="s">
        <v>84</v>
      </c>
      <c r="C73" s="13">
        <v>1.4790671598034448</v>
      </c>
      <c r="D73" s="13">
        <v>3.7696036620705677E-2</v>
      </c>
    </row>
    <row r="74" spans="1:4" x14ac:dyDescent="0.3">
      <c r="A74" s="7">
        <v>68</v>
      </c>
      <c r="B74" s="9" t="s">
        <v>84</v>
      </c>
      <c r="C74" s="7">
        <v>1.532516412217656</v>
      </c>
      <c r="D74" s="7">
        <v>0.11933275788168578</v>
      </c>
    </row>
    <row r="75" spans="1:4" x14ac:dyDescent="0.3">
      <c r="A75" s="13">
        <v>75</v>
      </c>
      <c r="B75" s="14" t="s">
        <v>91</v>
      </c>
      <c r="C75" s="13">
        <v>0.56617870116080382</v>
      </c>
      <c r="D75" s="13">
        <v>1.7302932972369116E-2</v>
      </c>
    </row>
    <row r="76" spans="1:4" x14ac:dyDescent="0.3">
      <c r="A76" s="7">
        <v>75</v>
      </c>
      <c r="B76" s="9" t="s">
        <v>91</v>
      </c>
      <c r="C76" s="7">
        <v>1.4503854930347952</v>
      </c>
      <c r="D76" s="7">
        <v>0.34886318068839461</v>
      </c>
    </row>
    <row r="77" spans="1:4" x14ac:dyDescent="0.3">
      <c r="A77" s="13">
        <v>78</v>
      </c>
      <c r="B77" s="14" t="s">
        <v>94</v>
      </c>
      <c r="C77" s="13">
        <v>0.59022390739944997</v>
      </c>
      <c r="D77" s="13">
        <v>0.23816588576510722</v>
      </c>
    </row>
    <row r="78" spans="1:4" x14ac:dyDescent="0.3">
      <c r="A78" s="7">
        <v>78</v>
      </c>
      <c r="B78" s="9" t="s">
        <v>94</v>
      </c>
      <c r="C78" s="7">
        <v>1.8108640681216654</v>
      </c>
      <c r="D78" s="7">
        <v>5.3927855701697558E-2</v>
      </c>
    </row>
    <row r="79" spans="1:4" x14ac:dyDescent="0.3">
      <c r="A79" s="13">
        <v>80</v>
      </c>
      <c r="B79" s="14" t="s">
        <v>96</v>
      </c>
      <c r="C79" s="13">
        <v>0.43877776179568923</v>
      </c>
      <c r="D79" s="13">
        <v>0.27200066981803322</v>
      </c>
    </row>
    <row r="80" spans="1:4" x14ac:dyDescent="0.3">
      <c r="A80" s="7">
        <v>80</v>
      </c>
      <c r="B80" s="9" t="s">
        <v>96</v>
      </c>
      <c r="C80" s="7">
        <v>1.8637831176681952</v>
      </c>
      <c r="D80" s="7">
        <v>2.0004207678473888E-2</v>
      </c>
    </row>
    <row r="81" spans="1:4" x14ac:dyDescent="0.3">
      <c r="A81" s="13">
        <v>82</v>
      </c>
      <c r="B81" s="14" t="s">
        <v>98</v>
      </c>
      <c r="C81" s="13">
        <v>0.67337434892313075</v>
      </c>
      <c r="D81" s="13">
        <v>0.75180293392417163</v>
      </c>
    </row>
    <row r="82" spans="1:4" x14ac:dyDescent="0.3">
      <c r="A82" s="7">
        <v>82</v>
      </c>
      <c r="B82" s="9" t="s">
        <v>98</v>
      </c>
      <c r="C82" s="7">
        <v>1.8030018529009613</v>
      </c>
      <c r="D82" s="7">
        <v>0.11252620610078472</v>
      </c>
    </row>
    <row r="83" spans="1:4" x14ac:dyDescent="0.3">
      <c r="A83" s="13">
        <v>83</v>
      </c>
      <c r="B83" s="14" t="s">
        <v>99</v>
      </c>
      <c r="C83" s="13">
        <v>0.65584598813311601</v>
      </c>
      <c r="D83" s="13">
        <v>0.28864585907688545</v>
      </c>
    </row>
    <row r="84" spans="1:4" x14ac:dyDescent="0.3">
      <c r="A84" s="7">
        <v>83</v>
      </c>
      <c r="B84" s="9" t="s">
        <v>99</v>
      </c>
      <c r="C84" s="7">
        <v>0.70584118246007865</v>
      </c>
      <c r="D84" s="7">
        <v>0.30925859259772104</v>
      </c>
    </row>
    <row r="85" spans="1:4" x14ac:dyDescent="0.3">
      <c r="A85" s="13">
        <v>91</v>
      </c>
      <c r="B85" s="14" t="s">
        <v>107</v>
      </c>
      <c r="C85" s="13">
        <v>0.65222078872044287</v>
      </c>
      <c r="D85" s="13">
        <v>0.13127636164079221</v>
      </c>
    </row>
    <row r="86" spans="1:4" x14ac:dyDescent="0.3">
      <c r="A86" s="7">
        <v>91</v>
      </c>
      <c r="B86" s="9" t="s">
        <v>107</v>
      </c>
      <c r="C86" s="7">
        <v>0.61690839770391004</v>
      </c>
      <c r="D86" s="7">
        <v>0.19585256659701247</v>
      </c>
    </row>
    <row r="87" spans="1:4" x14ac:dyDescent="0.3">
      <c r="A87" s="13">
        <v>92</v>
      </c>
      <c r="B87" s="14" t="s">
        <v>108</v>
      </c>
      <c r="C87" s="13">
        <v>0.16671159112475023</v>
      </c>
      <c r="D87" s="13">
        <v>6.257176803123761E-2</v>
      </c>
    </row>
    <row r="88" spans="1:4" x14ac:dyDescent="0.3">
      <c r="A88" s="7">
        <v>92</v>
      </c>
      <c r="B88" s="9" t="s">
        <v>108</v>
      </c>
      <c r="C88" s="7">
        <v>0.77884424576814959</v>
      </c>
      <c r="D88" s="7">
        <v>0.50513741039498727</v>
      </c>
    </row>
    <row r="89" spans="1:4" x14ac:dyDescent="0.3">
      <c r="A89" s="13">
        <v>95</v>
      </c>
      <c r="B89" s="14" t="s">
        <v>111</v>
      </c>
      <c r="C89" s="13">
        <v>0.31420994053920476</v>
      </c>
      <c r="D89" s="13">
        <v>0.18794646938835352</v>
      </c>
    </row>
    <row r="90" spans="1:4" x14ac:dyDescent="0.3">
      <c r="A90" s="7">
        <v>95</v>
      </c>
      <c r="B90" s="9" t="s">
        <v>111</v>
      </c>
      <c r="C90" s="7">
        <v>1.7392015960825296</v>
      </c>
      <c r="D90" s="7">
        <v>0.19007236351439699</v>
      </c>
    </row>
    <row r="91" spans="1:4" x14ac:dyDescent="0.3">
      <c r="A91" s="13">
        <v>98</v>
      </c>
      <c r="B91" s="14" t="s">
        <v>114</v>
      </c>
      <c r="C91" s="13">
        <v>0.78405501458632887</v>
      </c>
      <c r="D91" s="13">
        <v>0.63735283201292914</v>
      </c>
    </row>
    <row r="92" spans="1:4" x14ac:dyDescent="0.3">
      <c r="A92" s="7">
        <v>98</v>
      </c>
      <c r="B92" s="9" t="s">
        <v>114</v>
      </c>
      <c r="C92" s="7">
        <v>2.4536620104434537</v>
      </c>
      <c r="D92" s="7">
        <v>0.18790232516057515</v>
      </c>
    </row>
    <row r="93" spans="1:4" x14ac:dyDescent="0.3">
      <c r="A93" s="13">
        <v>100</v>
      </c>
      <c r="B93" s="14" t="s">
        <v>116</v>
      </c>
      <c r="C93" s="13">
        <v>1.3475123366986579</v>
      </c>
      <c r="D93" s="13">
        <v>0.1293922888850963</v>
      </c>
    </row>
    <row r="94" spans="1:4" x14ac:dyDescent="0.3">
      <c r="A94" s="7">
        <v>100</v>
      </c>
      <c r="B94" s="9" t="s">
        <v>116</v>
      </c>
      <c r="C94" s="7">
        <v>2.3893110448447663</v>
      </c>
      <c r="D94" s="7">
        <v>0.20476977343762645</v>
      </c>
    </row>
    <row r="95" spans="1:4" x14ac:dyDescent="0.3">
      <c r="A95" s="13">
        <v>102</v>
      </c>
      <c r="B95" s="14" t="s">
        <v>118</v>
      </c>
      <c r="C95" s="13">
        <v>1.2757670745329075</v>
      </c>
      <c r="D95" s="13">
        <v>1.1166249830221717E-2</v>
      </c>
    </row>
    <row r="96" spans="1:4" x14ac:dyDescent="0.3">
      <c r="A96" s="7">
        <v>102</v>
      </c>
      <c r="B96" s="9" t="s">
        <v>118</v>
      </c>
      <c r="C96" s="7">
        <v>0.7275008169677516</v>
      </c>
      <c r="D96" s="7">
        <v>0.32258067423687919</v>
      </c>
    </row>
    <row r="97" spans="1:4" x14ac:dyDescent="0.3">
      <c r="A97" s="13">
        <v>103</v>
      </c>
      <c r="B97" s="14" t="s">
        <v>119</v>
      </c>
      <c r="C97" s="13">
        <v>1.5609362527719335</v>
      </c>
      <c r="D97" s="13">
        <v>0.11010396856895334</v>
      </c>
    </row>
    <row r="98" spans="1:4" x14ac:dyDescent="0.3">
      <c r="A98" s="7">
        <v>103</v>
      </c>
      <c r="B98" s="9" t="s">
        <v>119</v>
      </c>
      <c r="C98" s="7">
        <v>0.76114695059681714</v>
      </c>
      <c r="D98" s="7">
        <v>0.45125198659336552</v>
      </c>
    </row>
    <row r="99" spans="1:4" x14ac:dyDescent="0.3">
      <c r="A99" s="13">
        <v>104</v>
      </c>
      <c r="B99" s="14" t="s">
        <v>120</v>
      </c>
      <c r="C99" s="13">
        <v>1.7120015063971616</v>
      </c>
      <c r="D99" s="13">
        <v>7.7107002589251072E-2</v>
      </c>
    </row>
    <row r="100" spans="1:4" x14ac:dyDescent="0.3">
      <c r="A100" s="7">
        <v>104</v>
      </c>
      <c r="B100" s="9" t="s">
        <v>120</v>
      </c>
      <c r="C100" s="7">
        <v>0.72857509222722072</v>
      </c>
      <c r="D100" s="7">
        <v>0.33693512348127835</v>
      </c>
    </row>
    <row r="101" spans="1:4" x14ac:dyDescent="0.3">
      <c r="A101" s="13">
        <v>105</v>
      </c>
      <c r="B101" s="14" t="s">
        <v>121</v>
      </c>
      <c r="C101" s="13">
        <v>1.2321892920155075</v>
      </c>
      <c r="D101" s="13">
        <v>5.5838889095772733E-2</v>
      </c>
    </row>
    <row r="102" spans="1:4" x14ac:dyDescent="0.3">
      <c r="A102" s="7">
        <v>105</v>
      </c>
      <c r="B102" s="9" t="s">
        <v>121</v>
      </c>
      <c r="C102" s="7">
        <v>0.61039335726618882</v>
      </c>
      <c r="D102" s="7">
        <v>0.25670026219907288</v>
      </c>
    </row>
    <row r="103" spans="1:4" x14ac:dyDescent="0.3">
      <c r="A103" s="13">
        <v>108</v>
      </c>
      <c r="B103" s="14" t="s">
        <v>124</v>
      </c>
      <c r="C103" s="13">
        <v>0.35831415297970959</v>
      </c>
      <c r="D103" s="13">
        <v>0.10824593537877185</v>
      </c>
    </row>
    <row r="104" spans="1:4" x14ac:dyDescent="0.3">
      <c r="A104" s="7">
        <v>108</v>
      </c>
      <c r="B104" s="9" t="s">
        <v>124</v>
      </c>
      <c r="C104" s="7">
        <v>1.3524577084492455</v>
      </c>
      <c r="D104" s="7">
        <v>0.10115808063458216</v>
      </c>
    </row>
  </sheetData>
  <sortState xmlns:xlrd2="http://schemas.microsoft.com/office/spreadsheetml/2017/richdata2" ref="A5:D104">
    <sortCondition ref="A5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0"/>
  <sheetViews>
    <sheetView tabSelected="1" workbookViewId="0">
      <selection activeCell="F22" sqref="F22"/>
    </sheetView>
  </sheetViews>
  <sheetFormatPr defaultColWidth="9.08984375" defaultRowHeight="14" x14ac:dyDescent="0.3"/>
  <cols>
    <col min="1" max="1" width="6.453125" style="15" bestFit="1" customWidth="1"/>
    <col min="2" max="2" width="39.54296875" style="15" bestFit="1" customWidth="1"/>
    <col min="3" max="3" width="12.36328125" style="15" bestFit="1" customWidth="1"/>
    <col min="4" max="4" width="14.90625" style="15" bestFit="1" customWidth="1"/>
    <col min="5" max="16384" width="9.08984375" style="15"/>
  </cols>
  <sheetData>
    <row r="1" spans="1:4" x14ac:dyDescent="0.3">
      <c r="A1" s="15" t="s">
        <v>141</v>
      </c>
      <c r="B1" s="15" t="s">
        <v>142</v>
      </c>
    </row>
    <row r="2" spans="1:4" x14ac:dyDescent="0.3">
      <c r="A2" s="15" t="s">
        <v>143</v>
      </c>
      <c r="B2" s="15" t="s">
        <v>144</v>
      </c>
    </row>
    <row r="4" spans="1:4" x14ac:dyDescent="0.3">
      <c r="A4" s="10" t="s">
        <v>13</v>
      </c>
      <c r="B4" s="11" t="s">
        <v>126</v>
      </c>
      <c r="C4" s="12" t="s">
        <v>15</v>
      </c>
      <c r="D4" s="10" t="s">
        <v>16</v>
      </c>
    </row>
    <row r="5" spans="1:4" x14ac:dyDescent="0.3">
      <c r="A5" s="13">
        <v>12</v>
      </c>
      <c r="B5" s="14" t="s">
        <v>28</v>
      </c>
      <c r="C5" s="13">
        <v>0.1399064617638795</v>
      </c>
      <c r="D5" s="13">
        <v>4.1172864523700815E-2</v>
      </c>
    </row>
    <row r="6" spans="1:4" x14ac:dyDescent="0.3">
      <c r="A6" s="7">
        <v>12</v>
      </c>
      <c r="B6" s="9" t="s">
        <v>28</v>
      </c>
      <c r="C6" s="7">
        <v>0.54616102574353076</v>
      </c>
      <c r="D6" s="7">
        <v>4.5389501717615563E-2</v>
      </c>
    </row>
    <row r="7" spans="1:4" x14ac:dyDescent="0.3">
      <c r="A7" s="13">
        <v>14</v>
      </c>
      <c r="B7" s="14" t="s">
        <v>30</v>
      </c>
      <c r="C7" s="13">
        <v>1.4392168751658758</v>
      </c>
      <c r="D7" s="13">
        <v>0.38280373044903493</v>
      </c>
    </row>
    <row r="8" spans="1:4" x14ac:dyDescent="0.3">
      <c r="A8" s="7">
        <v>14</v>
      </c>
      <c r="B8" s="9" t="s">
        <v>30</v>
      </c>
      <c r="C8" s="7">
        <v>1.8398426482653685</v>
      </c>
      <c r="D8" s="7">
        <v>0.24029602611655274</v>
      </c>
    </row>
    <row r="9" spans="1:4" x14ac:dyDescent="0.3">
      <c r="A9" s="13">
        <v>19</v>
      </c>
      <c r="B9" s="14" t="s">
        <v>35</v>
      </c>
      <c r="C9" s="13">
        <v>1.590399511849979</v>
      </c>
      <c r="D9" s="13">
        <v>0.33325116909966263</v>
      </c>
    </row>
    <row r="10" spans="1:4" x14ac:dyDescent="0.3">
      <c r="A10" s="7">
        <v>19</v>
      </c>
      <c r="B10" s="9" t="s">
        <v>35</v>
      </c>
      <c r="C10" s="7">
        <v>2.5365413374767956</v>
      </c>
      <c r="D10" s="7">
        <v>5.5718729210550107E-2</v>
      </c>
    </row>
    <row r="11" spans="1:4" x14ac:dyDescent="0.3">
      <c r="A11" s="13">
        <v>22</v>
      </c>
      <c r="B11" s="14" t="s">
        <v>38</v>
      </c>
      <c r="C11" s="13">
        <v>1.4207718179323277</v>
      </c>
      <c r="D11" s="13">
        <v>0.20136170481357235</v>
      </c>
    </row>
    <row r="12" spans="1:4" x14ac:dyDescent="0.3">
      <c r="A12" s="7">
        <v>22</v>
      </c>
      <c r="B12" s="9" t="s">
        <v>38</v>
      </c>
      <c r="C12" s="7">
        <v>1.3306901031983567</v>
      </c>
      <c r="D12" s="7">
        <v>0.19504311910908792</v>
      </c>
    </row>
    <row r="13" spans="1:4" x14ac:dyDescent="0.3">
      <c r="A13" s="13">
        <v>32</v>
      </c>
      <c r="B13" s="14" t="s">
        <v>48</v>
      </c>
      <c r="C13" s="13">
        <v>2.4957683960391503</v>
      </c>
      <c r="D13" s="13">
        <v>3.8197547309826592E-3</v>
      </c>
    </row>
    <row r="14" spans="1:4" x14ac:dyDescent="0.3">
      <c r="A14" s="7">
        <v>32</v>
      </c>
      <c r="B14" s="9" t="s">
        <v>48</v>
      </c>
      <c r="C14" s="7">
        <v>1.4834670818550169</v>
      </c>
      <c r="D14" s="7">
        <v>0.20415605750600491</v>
      </c>
    </row>
    <row r="15" spans="1:4" x14ac:dyDescent="0.3">
      <c r="A15" s="13">
        <v>33</v>
      </c>
      <c r="B15" s="14" t="s">
        <v>49</v>
      </c>
      <c r="C15" s="13">
        <v>0.41982669897223629</v>
      </c>
      <c r="D15" s="13">
        <v>0.10662073282833334</v>
      </c>
    </row>
    <row r="16" spans="1:4" x14ac:dyDescent="0.3">
      <c r="A16" s="7">
        <v>33</v>
      </c>
      <c r="B16" s="9" t="s">
        <v>49</v>
      </c>
      <c r="C16" s="7">
        <v>0.68652206587156106</v>
      </c>
      <c r="D16" s="7">
        <v>0.294587927078929</v>
      </c>
    </row>
    <row r="17" spans="1:4" x14ac:dyDescent="0.3">
      <c r="A17" s="13">
        <v>38</v>
      </c>
      <c r="B17" s="14" t="s">
        <v>54</v>
      </c>
      <c r="C17" s="13">
        <v>1.6005091015347761</v>
      </c>
      <c r="D17" s="13">
        <v>3.1468863454539954E-2</v>
      </c>
    </row>
    <row r="18" spans="1:4" x14ac:dyDescent="0.3">
      <c r="A18" s="7">
        <v>38</v>
      </c>
      <c r="B18" s="9" t="s">
        <v>54</v>
      </c>
      <c r="C18" s="7">
        <v>1.6050024019901585</v>
      </c>
      <c r="D18" s="7">
        <v>0.15752975662290655</v>
      </c>
    </row>
    <row r="19" spans="1:4" x14ac:dyDescent="0.3">
      <c r="A19" s="13">
        <v>40</v>
      </c>
      <c r="B19" s="14" t="s">
        <v>56</v>
      </c>
      <c r="C19" s="13">
        <v>0.66932896948706</v>
      </c>
      <c r="D19" s="13">
        <v>0.23638030829837714</v>
      </c>
    </row>
    <row r="20" spans="1:4" x14ac:dyDescent="0.3">
      <c r="A20" s="7">
        <v>40</v>
      </c>
      <c r="B20" s="9" t="s">
        <v>56</v>
      </c>
      <c r="C20" s="7">
        <v>0.40673154658559341</v>
      </c>
      <c r="D20" s="7">
        <v>5.6226230817034914E-3</v>
      </c>
    </row>
    <row r="21" spans="1:4" x14ac:dyDescent="0.3">
      <c r="A21" s="13">
        <v>51</v>
      </c>
      <c r="B21" s="14" t="s">
        <v>67</v>
      </c>
      <c r="C21" s="13">
        <v>0.53355698168695576</v>
      </c>
      <c r="D21" s="13">
        <v>0.36337348184717905</v>
      </c>
    </row>
    <row r="22" spans="1:4" x14ac:dyDescent="0.3">
      <c r="A22" s="7">
        <v>51</v>
      </c>
      <c r="B22" s="9" t="s">
        <v>67</v>
      </c>
      <c r="C22" s="7">
        <v>0.54952549719072841</v>
      </c>
      <c r="D22" s="7">
        <v>0.21565802943225482</v>
      </c>
    </row>
    <row r="23" spans="1:4" x14ac:dyDescent="0.3">
      <c r="A23" s="13">
        <v>52</v>
      </c>
      <c r="B23" s="14" t="s">
        <v>68</v>
      </c>
      <c r="C23" s="13">
        <v>0.67169988808839198</v>
      </c>
      <c r="D23" s="13">
        <v>0.47956045834926786</v>
      </c>
    </row>
    <row r="24" spans="1:4" x14ac:dyDescent="0.3">
      <c r="A24" s="7">
        <v>52</v>
      </c>
      <c r="B24" s="9" t="s">
        <v>68</v>
      </c>
      <c r="C24" s="7">
        <v>0.78774305355318408</v>
      </c>
      <c r="D24" s="7">
        <v>0.5095861491036815</v>
      </c>
    </row>
    <row r="25" spans="1:4" x14ac:dyDescent="0.3">
      <c r="A25" s="13">
        <v>54</v>
      </c>
      <c r="B25" s="14" t="s">
        <v>70</v>
      </c>
      <c r="C25" s="13">
        <v>1.4555246977313945</v>
      </c>
      <c r="D25" s="13">
        <v>1.5520759692686563E-2</v>
      </c>
    </row>
    <row r="26" spans="1:4" x14ac:dyDescent="0.3">
      <c r="A26" s="7">
        <v>54</v>
      </c>
      <c r="B26" s="9" t="s">
        <v>70</v>
      </c>
      <c r="C26" s="7">
        <v>1.5395679378534122</v>
      </c>
      <c r="D26" s="7">
        <v>0.20502293972891786</v>
      </c>
    </row>
    <row r="27" spans="1:4" x14ac:dyDescent="0.3">
      <c r="A27" s="13">
        <v>58</v>
      </c>
      <c r="B27" s="14" t="s">
        <v>74</v>
      </c>
      <c r="C27" s="13">
        <v>0.38971695139787133</v>
      </c>
      <c r="D27" s="13">
        <v>9.4696555235200167E-2</v>
      </c>
    </row>
    <row r="28" spans="1:4" x14ac:dyDescent="0.3">
      <c r="A28" s="7">
        <v>58</v>
      </c>
      <c r="B28" s="9" t="s">
        <v>74</v>
      </c>
      <c r="C28" s="7">
        <v>0.69746010818422555</v>
      </c>
      <c r="D28" s="7">
        <v>0.26566556513342354</v>
      </c>
    </row>
    <row r="29" spans="1:4" x14ac:dyDescent="0.3">
      <c r="A29" s="13">
        <v>59</v>
      </c>
      <c r="B29" s="14" t="s">
        <v>75</v>
      </c>
      <c r="C29" s="13">
        <v>0.38844054133366829</v>
      </c>
      <c r="D29" s="13">
        <v>9.4945965442652019E-2</v>
      </c>
    </row>
    <row r="30" spans="1:4" x14ac:dyDescent="0.3">
      <c r="A30" s="7">
        <v>59</v>
      </c>
      <c r="B30" s="9" t="s">
        <v>75</v>
      </c>
      <c r="C30" s="7">
        <v>0.69791394435394938</v>
      </c>
      <c r="D30" s="7">
        <v>0.26899751102726438</v>
      </c>
    </row>
    <row r="31" spans="1:4" x14ac:dyDescent="0.3">
      <c r="A31" s="13">
        <v>62</v>
      </c>
      <c r="B31" s="14" t="s">
        <v>78</v>
      </c>
      <c r="C31" s="13">
        <v>1.5485900183171462</v>
      </c>
      <c r="D31" s="13">
        <v>0.18470850633059221</v>
      </c>
    </row>
    <row r="32" spans="1:4" x14ac:dyDescent="0.3">
      <c r="A32" s="7">
        <v>62</v>
      </c>
      <c r="B32" s="9" t="s">
        <v>78</v>
      </c>
      <c r="C32" s="7">
        <v>3.1134713220317001</v>
      </c>
      <c r="D32" s="7">
        <v>6.1767286259871095E-2</v>
      </c>
    </row>
    <row r="33" spans="1:4" x14ac:dyDescent="0.3">
      <c r="A33" s="13">
        <v>63</v>
      </c>
      <c r="B33" s="14" t="s">
        <v>79</v>
      </c>
      <c r="C33" s="13">
        <v>1.4856901025012501</v>
      </c>
      <c r="D33" s="13">
        <v>3.3740108120962745E-2</v>
      </c>
    </row>
    <row r="34" spans="1:4" x14ac:dyDescent="0.3">
      <c r="A34" s="7">
        <v>63</v>
      </c>
      <c r="B34" s="9" t="s">
        <v>79</v>
      </c>
      <c r="C34" s="7">
        <v>3.9711756234738242</v>
      </c>
      <c r="D34" s="7">
        <v>6.4987617673801165E-2</v>
      </c>
    </row>
    <row r="35" spans="1:4" x14ac:dyDescent="0.3">
      <c r="A35" s="13">
        <v>64</v>
      </c>
      <c r="B35" s="14" t="s">
        <v>80</v>
      </c>
      <c r="C35" s="13">
        <v>1.4617042766461825</v>
      </c>
      <c r="D35" s="13">
        <v>3.6722230239990737E-2</v>
      </c>
    </row>
    <row r="36" spans="1:4" x14ac:dyDescent="0.3">
      <c r="A36" s="7">
        <v>64</v>
      </c>
      <c r="B36" s="9" t="s">
        <v>80</v>
      </c>
      <c r="C36" s="7">
        <v>3.9844715268889948</v>
      </c>
      <c r="D36" s="7">
        <v>6.6547260927978816E-2</v>
      </c>
    </row>
    <row r="37" spans="1:4" x14ac:dyDescent="0.3">
      <c r="A37" s="13">
        <v>65</v>
      </c>
      <c r="B37" s="14" t="s">
        <v>81</v>
      </c>
      <c r="C37" s="13">
        <v>1.4583642953143086</v>
      </c>
      <c r="D37" s="13">
        <v>4.8024862268717675E-2</v>
      </c>
    </row>
    <row r="38" spans="1:4" x14ac:dyDescent="0.3">
      <c r="A38" s="7">
        <v>65</v>
      </c>
      <c r="B38" s="9" t="s">
        <v>81</v>
      </c>
      <c r="C38" s="7">
        <v>4.5812551529739789</v>
      </c>
      <c r="D38" s="7">
        <v>8.8288622424889857E-2</v>
      </c>
    </row>
    <row r="39" spans="1:4" x14ac:dyDescent="0.3">
      <c r="A39" s="13">
        <v>66</v>
      </c>
      <c r="B39" s="14" t="s">
        <v>82</v>
      </c>
      <c r="C39" s="13">
        <v>1.4533263163195673</v>
      </c>
      <c r="D39" s="13">
        <v>4.2700883048195144E-2</v>
      </c>
    </row>
    <row r="40" spans="1:4" x14ac:dyDescent="0.3">
      <c r="A40" s="7">
        <v>66</v>
      </c>
      <c r="B40" s="9" t="s">
        <v>82</v>
      </c>
      <c r="C40" s="7">
        <v>3.8974999318130297</v>
      </c>
      <c r="D40" s="7">
        <v>3.262995857229916E-2</v>
      </c>
    </row>
    <row r="41" spans="1:4" x14ac:dyDescent="0.3">
      <c r="A41" s="13">
        <v>68</v>
      </c>
      <c r="B41" s="14" t="s">
        <v>84</v>
      </c>
      <c r="C41" s="13">
        <v>1.4790671598034448</v>
      </c>
      <c r="D41" s="13">
        <v>3.7696036620705677E-2</v>
      </c>
    </row>
    <row r="42" spans="1:4" x14ac:dyDescent="0.3">
      <c r="A42" s="7">
        <v>68</v>
      </c>
      <c r="B42" s="9" t="s">
        <v>84</v>
      </c>
      <c r="C42" s="7">
        <v>1.532516412217656</v>
      </c>
      <c r="D42" s="7">
        <v>0.11933275788168578</v>
      </c>
    </row>
    <row r="43" spans="1:4" x14ac:dyDescent="0.3">
      <c r="A43" s="13">
        <v>83</v>
      </c>
      <c r="B43" s="14" t="s">
        <v>99</v>
      </c>
      <c r="C43" s="13">
        <v>0.65584598813311601</v>
      </c>
      <c r="D43" s="13">
        <v>0.28864585907688545</v>
      </c>
    </row>
    <row r="44" spans="1:4" x14ac:dyDescent="0.3">
      <c r="A44" s="7">
        <v>83</v>
      </c>
      <c r="B44" s="9" t="s">
        <v>99</v>
      </c>
      <c r="C44" s="7">
        <v>0.70584118246007865</v>
      </c>
      <c r="D44" s="7">
        <v>0.30925859259772104</v>
      </c>
    </row>
    <row r="45" spans="1:4" x14ac:dyDescent="0.3">
      <c r="A45" s="13">
        <v>91</v>
      </c>
      <c r="B45" s="14" t="s">
        <v>107</v>
      </c>
      <c r="C45" s="13">
        <v>0.65222078872044287</v>
      </c>
      <c r="D45" s="13">
        <v>0.13127636164079221</v>
      </c>
    </row>
    <row r="46" spans="1:4" x14ac:dyDescent="0.3">
      <c r="A46" s="7">
        <v>91</v>
      </c>
      <c r="B46" s="9" t="s">
        <v>107</v>
      </c>
      <c r="C46" s="7">
        <v>0.61690839770391004</v>
      </c>
      <c r="D46" s="7">
        <v>0.19585256659701247</v>
      </c>
    </row>
    <row r="47" spans="1:4" x14ac:dyDescent="0.3">
      <c r="A47" s="13">
        <v>92</v>
      </c>
      <c r="B47" s="14" t="s">
        <v>108</v>
      </c>
      <c r="C47" s="13">
        <v>0.16671159112475023</v>
      </c>
      <c r="D47" s="13">
        <v>6.257176803123761E-2</v>
      </c>
    </row>
    <row r="48" spans="1:4" x14ac:dyDescent="0.3">
      <c r="A48" s="7">
        <v>92</v>
      </c>
      <c r="B48" s="9" t="s">
        <v>108</v>
      </c>
      <c r="C48" s="7">
        <v>0.77884424576814959</v>
      </c>
      <c r="D48" s="7">
        <v>0.50513741039498727</v>
      </c>
    </row>
    <row r="49" spans="1:4" x14ac:dyDescent="0.3">
      <c r="A49" s="13">
        <v>100</v>
      </c>
      <c r="B49" s="14" t="s">
        <v>116</v>
      </c>
      <c r="C49" s="13">
        <v>1.3475123366986579</v>
      </c>
      <c r="D49" s="13">
        <v>0.1293922888850963</v>
      </c>
    </row>
    <row r="50" spans="1:4" x14ac:dyDescent="0.3">
      <c r="A50" s="7">
        <v>100</v>
      </c>
      <c r="B50" s="9" t="s">
        <v>116</v>
      </c>
      <c r="C50" s="7">
        <v>2.3893110448447663</v>
      </c>
      <c r="D50" s="7">
        <v>0.20476977343762645</v>
      </c>
    </row>
  </sheetData>
  <sortState xmlns:xlrd2="http://schemas.microsoft.com/office/spreadsheetml/2017/richdata2" ref="A5:D104">
    <sortCondition ref="A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At_all</vt:lpstr>
      <vt:lpstr>At_fold change</vt:lpstr>
      <vt:lpstr>At_FC_p value</vt:lpstr>
      <vt:lpstr>Vf_all</vt:lpstr>
      <vt:lpstr>Vf_fold change</vt:lpstr>
      <vt:lpstr>Vf_FC_p value</vt:lpstr>
      <vt:lpstr>Overlap_fold change</vt:lpstr>
      <vt:lpstr>Overlap_FC_same trend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2025-03-31T08:25:23Z</dcterms:modified>
</cp:coreProperties>
</file>